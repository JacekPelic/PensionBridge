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atalliakozakevych/Downloads/"/>
    </mc:Choice>
  </mc:AlternateContent>
  <xr:revisionPtr revIDLastSave="0" documentId="13_ncr:1_{E98D274C-4AB5-AB47-AC38-C556B1680E01}" xr6:coauthVersionLast="47" xr6:coauthVersionMax="47" xr10:uidLastSave="{00000000-0000-0000-0000-000000000000}"/>
  <bookViews>
    <workbookView xWindow="0" yWindow="660" windowWidth="29400" windowHeight="16960" activeTab="5" xr2:uid="{00000000-000D-0000-FFFF-FFFF00000000}"/>
  </bookViews>
  <sheets>
    <sheet name="Dashboard" sheetId="1" r:id="rId1"/>
    <sheet name="Draft" sheetId="2" r:id="rId2"/>
    <sheet name="Ring 1 — LU Institutions" sheetId="3" r:id="rId3"/>
    <sheet name="Ring 2 — Communities" sheetId="4" r:id="rId4"/>
    <sheet name="Ring 3 — Abroad (Stage 2)" sheetId="5" r:id="rId5"/>
    <sheet name="Action Plan" sheetId="6" r:id="rId6"/>
  </sheets>
  <definedNames>
    <definedName name="_xlnm._FilterDatabase" localSheetId="5" hidden="1">'Action Plan'!$A$1:$Y$31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D18" i="1"/>
  <c r="C18" i="1"/>
  <c r="B18" i="1"/>
  <c r="D17" i="1"/>
  <c r="C17" i="1"/>
  <c r="B17" i="1"/>
  <c r="I16" i="1"/>
  <c r="H16" i="1"/>
  <c r="I15" i="1"/>
  <c r="H15" i="1"/>
  <c r="I14" i="1"/>
  <c r="H14" i="1"/>
  <c r="D14" i="1"/>
  <c r="C14" i="1"/>
  <c r="E14" i="1" s="1"/>
  <c r="B14" i="1"/>
  <c r="I13" i="1"/>
  <c r="H13" i="1"/>
  <c r="D13" i="1"/>
  <c r="C13" i="1"/>
  <c r="E13" i="1" s="1"/>
  <c r="B13" i="1"/>
  <c r="I12" i="1"/>
  <c r="H12" i="1"/>
  <c r="D12" i="1"/>
  <c r="C12" i="1"/>
  <c r="E12" i="1" s="1"/>
  <c r="B12" i="1"/>
  <c r="I11" i="1"/>
  <c r="H11" i="1"/>
  <c r="D11" i="1"/>
  <c r="C11" i="1"/>
  <c r="B11" i="1"/>
  <c r="E11" i="1" s="1"/>
  <c r="I10" i="1"/>
  <c r="H10" i="1"/>
  <c r="I9" i="1"/>
  <c r="H9" i="1"/>
  <c r="I8" i="1"/>
  <c r="H8" i="1"/>
  <c r="I7" i="1"/>
  <c r="H7" i="1"/>
  <c r="D7" i="1"/>
  <c r="C7" i="1"/>
  <c r="B7" i="1"/>
  <c r="I6" i="1"/>
  <c r="H6" i="1"/>
  <c r="D6" i="1"/>
  <c r="D8" i="1" s="1"/>
  <c r="C6" i="1"/>
  <c r="B6" i="1"/>
  <c r="I5" i="1"/>
  <c r="H5" i="1"/>
  <c r="D5" i="1"/>
  <c r="C5" i="1"/>
  <c r="C8" i="1" s="1"/>
  <c r="B5" i="1"/>
  <c r="E18" i="1" l="1"/>
  <c r="B8" i="1"/>
  <c r="E17" i="1"/>
</calcChain>
</file>

<file path=xl/sharedStrings.xml><?xml version="1.0" encoding="utf-8"?>
<sst xmlns="http://schemas.openxmlformats.org/spreadsheetml/2006/main" count="1732" uniqueCount="569">
  <si>
    <t>Partnership Pipeline — Dashboard</t>
  </si>
  <si>
    <t>Live summary across all three rings. Data pulls from Ring 1, Ring 2, and Ring 3 sheets.</t>
  </si>
  <si>
    <t>PIPELINE BY RING</t>
  </si>
  <si>
    <t>Partners</t>
  </si>
  <si>
    <t>High Priority</t>
  </si>
  <si>
    <t>Contacted+</t>
  </si>
  <si>
    <t>RING 2 — BY COUNTRY</t>
  </si>
  <si>
    <t>Entities</t>
  </si>
  <si>
    <t>Status</t>
  </si>
  <si>
    <t>🟢 Ring 1 — LU Institutions</t>
  </si>
  <si>
    <t>PT — Portugal</t>
  </si>
  <si>
    <t>🟣 Ring 2 — Country Communities</t>
  </si>
  <si>
    <t>FR — France</t>
  </si>
  <si>
    <t>🔴 Ring 3 — Abroad (Stage 2)</t>
  </si>
  <si>
    <t>IT — Italy</t>
  </si>
  <si>
    <t>Total</t>
  </si>
  <si>
    <t>BE — Belgium</t>
  </si>
  <si>
    <t>DE — Germany</t>
  </si>
  <si>
    <t>STATUS TRACKER</t>
  </si>
  <si>
    <t>Ring 1</t>
  </si>
  <si>
    <t>Ring 2</t>
  </si>
  <si>
    <t>Ring 3</t>
  </si>
  <si>
    <t>ES — Spain</t>
  </si>
  <si>
    <t>Researching</t>
  </si>
  <si>
    <t>CH — Switzerland</t>
  </si>
  <si>
    <t>Contacted</t>
  </si>
  <si>
    <t>PL — Poland</t>
  </si>
  <si>
    <t>In Discussion</t>
  </si>
  <si>
    <t>UK / US — EN-speaking</t>
  </si>
  <si>
    <t>Active Partner</t>
  </si>
  <si>
    <t>RO — Romania</t>
  </si>
  <si>
    <t>IN — India</t>
  </si>
  <si>
    <t>Nordic — DK/FI/IS/NO/SE</t>
  </si>
  <si>
    <t>On Hold</t>
  </si>
  <si>
    <t>RING 1 — BY CATEGORY</t>
  </si>
  <si>
    <t>Count</t>
  </si>
  <si>
    <t>Not a Fit</t>
  </si>
  <si>
    <t>Hub / Public Body</t>
  </si>
  <si>
    <t>Federation</t>
  </si>
  <si>
    <t>Chamber</t>
  </si>
  <si>
    <t>Media</t>
  </si>
  <si>
    <t>HR Network</t>
  </si>
  <si>
    <t>Organization</t>
  </si>
  <si>
    <t>Why They Care</t>
  </si>
  <si>
    <t>Our Interest</t>
  </si>
  <si>
    <t>Main Message</t>
  </si>
  <si>
    <t>Partnership Type</t>
  </si>
  <si>
    <t>Access Conditions</t>
  </si>
  <si>
    <t>Support They Can Offer</t>
  </si>
  <si>
    <t>What We Offer</t>
  </si>
  <si>
    <t>Contact Person</t>
  </si>
  <si>
    <t>Need to Confirm</t>
  </si>
  <si>
    <t>Priority</t>
  </si>
  <si>
    <t>House of Entrepreneurship</t>
  </si>
  <si>
    <t>We offer useful value-add for people with international careers; fits their mission to inform, guide, and connect entrepreneurs</t>
  </si>
  <si>
    <t>Access to founders and internationally mobile entrepreneurs through workshops and advisor referrals; visibility in the entrepreneurship ecosystem; practical support and ecosystem introductions.</t>
  </si>
  <si>
    <t>We help employers and internationally mobile professionals with international careers understand and organize pension rights across countries</t>
  </si>
  <si>
    <t>Workshop / content / pilot / ecosystem intro</t>
  </si>
  <si>
    <t>Likely mission-based, free first contact; no public membership requirement found</t>
  </si>
  <si>
    <t>Advisor meeting, workshop opportunity, intros, feedback</t>
  </si>
  <si>
    <t>Workshop, guide, pilot session</t>
  </si>
  <si>
    <t>info@houseofentrepreneurship.lu</t>
  </si>
  <si>
    <t>Whether formal promotion or repeated collaboration needs separate arrangement</t>
  </si>
  <si>
    <t>High</t>
  </si>
  <si>
    <t>Luxembourg Chamber of Commerce (cc.lu)</t>
  </si>
  <si>
    <t>Better support offer for member companies and internationally active businesses</t>
  </si>
  <si>
    <t>Reach employers, SMEs, and international business members via Chamber channels, events, and International Affairs</t>
  </si>
  <si>
    <t>Event / B2B intro / content / referral</t>
  </si>
  <si>
    <t>Core contact is open; deeper visibility may depend on Chamber process or membership context</t>
  </si>
  <si>
    <t>Intros, event route, international business access</t>
  </si>
  <si>
    <t>Employer-facing content, pilot, educational session</t>
  </si>
  <si>
    <t>Amrita Singh — Matchmaking Coordinator, International Affairs — amrita.singh@cc.lu</t>
  </si>
  <si>
    <t>Whether access to member-facing formats needs extra conditions</t>
  </si>
  <si>
    <t>House of Startups (HoST)</t>
  </si>
  <si>
    <t>Access to startup founders and startup employees; visibility in the startup ecosystem; pilot-user access and community support.</t>
  </si>
  <si>
    <t>We help founders and startup talent with international careers get clarity on fragmented pension rights</t>
  </si>
  <si>
    <t>Likely open for first contact; deeper activation may depend on ecosystem fit or resident status</t>
  </si>
  <si>
    <t>Startup-community access, pilot audience, event/community route</t>
  </si>
  <si>
    <t>reception@host.lu</t>
  </si>
  <si>
    <t>Whether access to resident startups or event slots needs internal sponsor</t>
  </si>
  <si>
    <t>LHoFT</t>
  </si>
  <si>
    <t>Strong fintech / wealthtech / employee-financial-wellbeing angle; relevant to financial innovation and ecosystem collaboration</t>
  </si>
  <si>
    <t>Access to fintech, employers, and innovation partners; strong ecosystem visibility and credibility; support through introductions and pilot discussions.</t>
  </si>
  <si>
    <t>We are building a retirement-rights solution for internationally mobile professionals and employers</t>
  </si>
  <si>
    <t>Fintech partnership / pilot / ecosystem intro / employer-benefit discussion</t>
  </si>
  <si>
    <t>Likely selective and fit-driven</t>
  </si>
  <si>
    <t>Ecosystem credibility, intros, pilot conversations, event route</t>
  </si>
  <si>
    <t>Fintech use case, thought leadership, pilot, validation insights</t>
  </si>
  <si>
    <t>Whether membership/incubation is needed for deeper support</t>
  </si>
  <si>
    <t>Luxinnovation</t>
  </si>
  <si>
    <t>Relevant if they see us as an innovation/startup project with partner-finding and market-launch potential</t>
  </si>
  <si>
    <t>Reach startup ecosystem, innovation partners, and scaling-support structures through their startup and partner-finding support</t>
  </si>
  <si>
    <t>Innovation support / partner finding / scaling support</t>
  </si>
  <si>
    <t>Mission-based support for innovation projects</t>
  </si>
  <si>
    <t>Partner finding, startup support, market-launch preparation, funding orientation</t>
  </si>
  <si>
    <t>Innovation case, ecosystem contribution, pilot</t>
  </si>
  <si>
    <t xml:space="preserve">Inna Perepelytsya — Senior Advisor — inna.perepelytsya@luxinnovation.lu
Sven Baltes — Manager – Startup Relations — sven.baltes@luxinnovation.lu </t>
  </si>
  <si>
    <t>Whether they see the project as strong enough innovation fit</t>
  </si>
  <si>
    <t>Medium-High</t>
  </si>
  <si>
    <t>AMCHAM Luxembourg</t>
  </si>
  <si>
    <t>We offer relevant member value for international companies and international employees; fits their information/problem-solving role</t>
  </si>
  <si>
    <t>Reach English-speaking employers, expat professionals, HR contacts, and member companies through events and committees</t>
  </si>
  <si>
    <t>We help international professionals and employers navigate fragmented pension rights built across Europe</t>
  </si>
  <si>
    <t>Event / employer pilot / content / committee discussion</t>
  </si>
  <si>
    <t>Likely member-driven; collaboration may depend on format or sponsorship</t>
  </si>
  <si>
    <t>Member events, employer visibility, committee access, newsletters</t>
  </si>
  <si>
    <r>
      <rPr>
        <sz val="12"/>
        <color rgb="FF000000"/>
        <rFont val="Aptos Narrow"/>
      </rPr>
      <t xml:space="preserve">Educational session, employer-benefit angle, guide, </t>
    </r>
    <r>
      <rPr>
        <sz val="12"/>
        <color rgb="FFFF0000"/>
        <rFont val="Aptos Narrow (Body)"/>
      </rPr>
      <t>sharing news on changes in pension rights.</t>
    </r>
  </si>
  <si>
    <t>Daniel McKenzie — Head of Communications, Events and Committee Structures — daniel@amcham.lu</t>
  </si>
  <si>
    <t>Whether speaking or content visibility needs membership or sponsor status or can start as external expert contribution</t>
  </si>
  <si>
    <t>British Chamber of Commerce</t>
  </si>
  <si>
    <t>We offer relevant member value for international companies and international employees; fits their event-based knowledge sharing</t>
  </si>
  <si>
    <t>Event / content / community pilot / referrals</t>
  </si>
  <si>
    <t>Community access,Events, business forums, member network</t>
  </si>
  <si>
    <t>Rebecca Kellagher — Manager — rebecca.kellagher@bcc.lu</t>
  </si>
  <si>
    <t>CCIPL / Portugal–Luxembourg Chamber(ccill.lu)</t>
  </si>
  <si>
    <t>Highly relevant member/community topic for Portugal-linked entrepreneurs and professionals; fits their business support and matchmaking role</t>
  </si>
  <si>
    <t>Reach Portugal-linked founders, professionals, firms, and their event/newsletter audience</t>
  </si>
  <si>
    <t>We help Portugal–Luxembourg professionals understand and organize pension rights across countries</t>
  </si>
  <si>
    <t xml:space="preserve">Community access, events, business introductions, newsletter potential, visibility </t>
  </si>
  <si>
    <t>Portugal–Luxembourg pension session, guide, pilot</t>
  </si>
  <si>
    <t>info@ccill.lu</t>
  </si>
  <si>
    <t>Luxembourg-Poland Chamber of Commerce (LPCC) (lpcc.lu)</t>
  </si>
  <si>
    <t>Relevant member/community topic for Poland-linked entrepreneurs and professionals; fits their business support and matchmaking role</t>
  </si>
  <si>
    <t>Reach Poland-linked founders, professionals, firms, and their event/newsletter audience</t>
  </si>
  <si>
    <t>We help internationally mobile professionals with Poland-linked careers organize pension rights across countries</t>
  </si>
  <si>
    <t>Poland–Lux session, guide, pilot group</t>
  </si>
  <si>
    <t>Oliwia Gertych — Digital Marketer &amp; Project Manager — oliwia.gertych@lpcc.lu</t>
  </si>
  <si>
    <t>Official Spanish Chamber of Commerce in Belgium and Luxembourg (e-camara.com)</t>
  </si>
  <si>
    <t>Relevant member/community topic for Spain-linked entrepreneurs and professionals; fits their business support and matchmaking role</t>
  </si>
  <si>
    <t>Reach Spain-linked founders, professionals, firms, and their event/newsletter audience</t>
  </si>
  <si>
    <t>We help internationally mobile professionals with Spain-linked careers organize pension rights across countries</t>
  </si>
  <si>
    <r>
      <rPr>
        <sz val="12"/>
        <color rgb="FF000000"/>
        <rFont val="Aptos Narrow"/>
      </rPr>
      <t>Likely member-driven; collaboration may depend on format or sponsorship (</t>
    </r>
    <r>
      <rPr>
        <sz val="12"/>
        <color rgb="FFFF0000"/>
        <rFont val="Aptos Narrow (Body)"/>
      </rPr>
      <t>direct contact? )</t>
    </r>
  </si>
  <si>
    <t>Spain–Lux session, guide, pilot group</t>
  </si>
  <si>
    <t>luxemburgo@e-camara.com</t>
  </si>
  <si>
    <t>Luxembourg-Italian Chamber of Commerce</t>
  </si>
  <si>
    <t>Relevant topic for Italy-linked companies and professionals in Luxembourg, especially since Italy is one of our product expansion markets</t>
  </si>
  <si>
    <t>Reach Italy-linked founders, professionals, firms, and their event/newsletter audience</t>
  </si>
  <si>
    <t>We help Italy–Luxembourg professionals understand and organize pension rights across countries</t>
  </si>
  <si>
    <t>Likely chamber-based; direct outreach possible</t>
  </si>
  <si>
    <t>Bilateral network, events, visibility, member access</t>
  </si>
  <si>
    <t>Italy–Lux pension education session, practical guide, pilot audience</t>
  </si>
  <si>
    <t xml:space="preserve">
Luisa Castelli
Secrétaire général / Directeur
— l.castelli@ccil.lu</t>
  </si>
  <si>
    <t>CCI France Luxembourg</t>
  </si>
  <si>
    <t>Highly relevant member/community topic for France-linked entrepreneurs and professionals; fits their business support and matchmaking role</t>
  </si>
  <si>
    <t>Reach France-linked founders, professionals, firms, and their event/newsletter audience; strong credibility in the France–Lux corridor</t>
  </si>
  <si>
    <t>We help internationally mobile professionals with France-linked careers organize pension rights across countries</t>
  </si>
  <si>
    <r>
      <rPr>
        <sz val="12"/>
        <color rgb="FF000000"/>
        <rFont val="Aptos Narrow"/>
      </rPr>
      <t>Clear </t>
    </r>
    <r>
      <rPr>
        <b/>
        <sz val="12"/>
        <color rgb="FF000000"/>
        <rFont val="Aptos Narrow"/>
      </rPr>
      <t>membership model</t>
    </r>
    <r>
      <rPr>
        <sz val="12"/>
        <color rgb="FF000000"/>
        <rFont val="Aptos Narrow"/>
      </rPr>
      <t> and business club logic; first contact open, deeper visibility likely easier through partnership or member-style collaboration</t>
    </r>
  </si>
  <si>
    <t>France–Lux pension session, practical guide, employer-facing content, pilot</t>
  </si>
  <si>
    <t>Alexandra Benel, Director — alexandra.benel@cfci.lu; general cfci@cfci.lu</t>
  </si>
  <si>
    <t>Business Club Luxemburg-Schweiz</t>
  </si>
  <si>
    <t>Highly relevant member/community topic for Switzerland-linked entrepreneurs and professionals; fits their business support and matchmaking role</t>
  </si>
  <si>
    <t>Reach Switzerland-linked founders, professionals, firms, and their event/newsletter audience</t>
  </si>
  <si>
    <t>We help Switzerland–Luxembourg professionals bring clarity to fragmented pension rights and occupational/private retirement assets across countries</t>
  </si>
  <si>
    <t>Accredited bilateral business club, but detailed public access conditions need confirmation through direct contact via Chamber bilateral route</t>
  </si>
  <si>
    <t>Swiss–Lux pension education session, practical cross-border guide, pilot audience</t>
  </si>
  <si>
    <t>Low (they don’t have a big network)</t>
  </si>
  <si>
    <t>Business Club Belgium-Luxembourg (BCBL)</t>
  </si>
  <si>
    <t>Reach Belgian-linked companies, professionals, firms, and their event/newsletter audience</t>
  </si>
  <si>
    <t>We help internationally mobile professionals with Belgium-linked careers organize pension rights across countries</t>
  </si>
  <si>
    <r>
      <rPr>
        <sz val="12"/>
        <color rgb="FF000000"/>
        <rFont val="Aptos Narrow"/>
      </rPr>
      <t>Appears to be </t>
    </r>
    <r>
      <rPr>
        <b/>
        <sz val="12"/>
        <color rgb="FF000000"/>
        <rFont val="Aptos Narrow"/>
      </rPr>
      <t>member-based</t>
    </r>
    <r>
      <rPr>
        <sz val="12"/>
        <color rgb="FF000000"/>
        <rFont val="Aptos Narrow"/>
      </rPr>
      <t> business club; first contact open; deeper collaboration likely depends on club format or membership/sponsorship</t>
    </r>
  </si>
  <si>
    <t>Belgium–Lux pension session, practical guide, pilot group, employer-facing content</t>
  </si>
  <si>
    <t>contact@bcbl.be</t>
  </si>
  <si>
    <t>Social Business Incubator (SBI)</t>
  </si>
  <si>
    <t>If positioned as financial inclusion / long-term resilience for internationally mobile people, it fits their social-impact support logic</t>
  </si>
  <si>
    <t>Reach social entrepreneurs, impact projects, and communities where financial clarity is part of social inclusion</t>
  </si>
  <si>
    <t>We want to improve long-term financial clarity and pension access for internationally mobile people</t>
  </si>
  <si>
    <t>Impact partnership / workshop / ecosystem intro</t>
  </si>
  <si>
    <t>Likely mission-based support</t>
  </si>
  <si>
    <t>Advice, training, impact-network intros, social positioning</t>
  </si>
  <si>
    <t>Financial wellbeing / inclusion workshop, impact framing</t>
  </si>
  <si>
    <t>contact@sbi.lu</t>
  </si>
  <si>
    <t>Whether our project is impact-oriented enough for active support</t>
  </si>
  <si>
    <t>Medium</t>
  </si>
  <si>
    <t>Luxembourg Employers’ Association (UEL)</t>
  </si>
  <si>
    <t>Our solution can support employers dealing with internationally mobile employees and long-term employee wellbeing topics</t>
  </si>
  <si>
    <t>Reach employers, business leaders, and employer associations; strong B2B credibility and policy-level visibility</t>
  </si>
  <si>
    <t>We help employers support internationally mobile employees facing fragmented pension rights across countries</t>
  </si>
  <si>
    <t>Employer pilot / policy discussion / event / content</t>
  </si>
  <si>
    <t>Likely institutional and selective; contact possible through public route</t>
  </si>
  <si>
    <t>Employer credibility, possible introductions, policy/business visibility</t>
  </si>
  <si>
    <t>Employer-benefit angle, educational content, pilot idea</t>
  </si>
  <si>
    <t>Jean-Paul Olinger / public route press@uel.lu</t>
  </si>
  <si>
    <t>Best operational contact and whether topic fits their agenda</t>
  </si>
  <si>
    <t>ALFI – Association of the Luxembourg Fund Industry</t>
  </si>
  <si>
    <t>Relevant if positioned around international finance professionals, mobility, and long-term retirement/wealth-planning literacy</t>
  </si>
  <si>
    <t>Reach international finance professionals, member firms, and industry visibility in Luxembourg finance ecosystem</t>
  </si>
  <si>
    <t>Thought leadership / event / finance-community content</t>
  </si>
  <si>
    <t>Likely member-driven and industry-focused</t>
  </si>
  <si>
    <t>Events, premium visibility, finance-network access</t>
  </si>
  <si>
    <t>Educational session, finance-focused guide, premium pilot audience</t>
  </si>
  <si>
    <t>Whether they would see this as relevant beyond investment/fund topics</t>
  </si>
  <si>
    <t>Luxembourg for Finance (LFF)</t>
  </si>
  <si>
    <t>Strong fit for the international-finance and international-talent angle; your topic is relevant for globally mobile finance professionals</t>
  </si>
  <si>
    <t>Reach international finance audience, institutions, and financial-ecosystem visibility</t>
  </si>
  <si>
    <t>Event / ecosystem intro / thought leadership / visibility</t>
  </si>
  <si>
    <t>Likely institutional and fit-driven</t>
  </si>
  <si>
    <t>Visibility, finance-community access, ecosystem introductions</t>
  </si>
  <si>
    <t>Finance-professional guide, panel topic, educational session</t>
  </si>
  <si>
    <t>Jonathan         WESTHEAD —         Head of Communications   —   jonathan.westhead@lff.lu</t>
  </si>
  <si>
    <t>Whether they would host or circulate a topic like this</t>
  </si>
  <si>
    <t>FEDIL – The Voice of Luxembourg’s Industry</t>
  </si>
  <si>
    <t>Relevant for employers with international talent and cross-border workforce management needs</t>
  </si>
  <si>
    <t>Reach industrial employers, HR/business leaders, and employer network visibility</t>
  </si>
  <si>
    <t>Employer pilot / event / content / referrals</t>
  </si>
  <si>
    <t>Likely association-based and agenda-driven</t>
  </si>
  <si>
    <t>Employer network, business visibility, sector reach</t>
  </si>
  <si>
    <t>Employer-facing workshop, international-workforce support angle</t>
  </si>
  <si>
    <t>Best contact person and whether topic fits employer agenda</t>
  </si>
  <si>
    <t>APSI Luxembourg</t>
  </si>
  <si>
    <t>Relevant if positioned as digital infrastructure / fintech / regtech / employee-digital-services topic</t>
  </si>
  <si>
    <t>Reach Luxembourg tech community, digital leaders, and ecosystem visibility</t>
  </si>
  <si>
    <t>Ecosystem intro / event / visibility / tech-community content</t>
  </si>
  <si>
    <t>Likely association/community-based</t>
  </si>
  <si>
    <t>Tech visibility, digital ecosystem access, possible event channel</t>
  </si>
  <si>
    <t>Digital-use-case angle, startup/fintech story, product demo</t>
  </si>
  <si>
    <t>Whether they are a strong enough GTM route versus only visibility</t>
  </si>
  <si>
    <t>LPEA – Luxembourg Private Equity &amp; Venture Capital Association</t>
  </si>
  <si>
    <t>Our solution is relevant to an international finance audience with highly mobile careers; LPEA’s mission is to connect, inform, and represent the PE/VC ecosystem.</t>
  </si>
  <si>
    <t>Reach PE/VC firms, private banks, family offices, advisors, and highly international professionals; gain premium finance visibility and potential employer-level access.</t>
  </si>
  <si>
    <t>We help internationally mobile professionals and employers in finance understand and organize fragmented pension rights across countries.</t>
  </si>
  <si>
    <t>Event / thought leadership / employer pilot / finance-community content</t>
  </si>
  <si>
    <t xml:space="preserve">Clear membership-based association, but direct contact is open. </t>
  </si>
  <si>
    <t>Events, network access, industry visibility, premium-segment credibility, knowledge-sharing platform.</t>
  </si>
  <si>
    <t>Finance-focused educational session, premium professional guide, pilot group, thought leadership content.</t>
  </si>
  <si>
    <t>Claus        Mansfeldt —  President—  claus.mansfeldt@lpea.lu
Stephane        Pesch        —        CEO — stephane.pesch@lpea.lu
Johann        Herz —         Head of Events &amp; Communication — johann.herz@lpea.lu</t>
  </si>
  <si>
    <t>Whether non-members can speak, publish, or co-host; best operational contact beyond general office.</t>
  </si>
  <si>
    <t>LBAN – Luxembourg Business Angel Network</t>
  </si>
  <si>
    <t>Relevant if we position the solution for founders, investors, and internationally mobile startup operators; LBAN’s mission is to connect business angels with the entrepreneurial ecosystem and support startup growth.</t>
  </si>
  <si>
    <t>Reach angel investors, founders, startup teams, and ecosystem actors; gain startup/investor visibility and possible intros to founder communities and early adopters.</t>
  </si>
  <si>
    <t>Event / startup-investor content / ecosystem intro / pilot</t>
  </si>
  <si>
    <t>Membership/network-based, but general contact is open.</t>
  </si>
  <si>
    <t xml:space="preserve">Investor/startup ecosystem visibility, founder access, event/network route, community credibility. </t>
  </si>
  <si>
    <t>Founder/investor education session, startup-team guide, pilot-user angle, ecosystem content.</t>
  </si>
  <si>
    <t>info@lban.lu; public contacts include Michel Rzonzef (President)and Teona Khubutia (Manager).</t>
  </si>
  <si>
    <t>Whether they see the topic as relevant enough for members; whether event/content collaboration requires membership or sponsor route.</t>
  </si>
  <si>
    <t xml:space="preserve">ABBL? </t>
  </si>
  <si>
    <t>Maison Moderne / Paperjam / Delano</t>
  </si>
  <si>
    <t>Strong editorial relevance if framed as international talent, retirement fragmentation, and employer/expat financial clarity in Luxembourg</t>
  </si>
  <si>
    <t>Reach business audience, employers, decision-makers, and broad Luxembourg visibility through media exposure</t>
  </si>
  <si>
    <t>Media / thought leadership / interview / article</t>
  </si>
  <si>
    <t>Editorial fit required; not a classic partnership</t>
  </si>
  <si>
    <t>Visibility, credibility, audience reach, story amplification</t>
  </si>
  <si>
    <t>Article angle, expert commentary, ecosystem story</t>
  </si>
  <si>
    <t>Aaron Grunwald — Editor-in-chief at Delano — aaron.grunwald@maisonmoderne.com
Thierry         Labro         —        Editor-in-chief at Delano        — thierry.labro@maisonmoderne.com</t>
  </si>
  <si>
    <t>Best story angle: expat, talent, pensions, founder journey, or fintech</t>
  </si>
  <si>
    <t>Category</t>
  </si>
  <si>
    <t>Next Action</t>
  </si>
  <si>
    <t>GTM Role</t>
  </si>
  <si>
    <t>Identify contact at House of Entrepreneurship; check upcoming startup events to attend</t>
  </si>
  <si>
    <t>Ecosystem intro, workshops, pilot users</t>
  </si>
  <si>
    <t>Luxembourg Chamber of Commerce (cc.lu)</t>
  </si>
  <si>
    <t>Check CC events calendar; explore membership or partnership application route</t>
  </si>
  <si>
    <t>B2B intros, employer reach, events</t>
  </si>
  <si>
    <t>Contact HoST reception; ask about hosting a pension-rights workshop for startups</t>
  </si>
  <si>
    <t>Startup community, pilot users, events</t>
  </si>
  <si>
    <t>Contact LHoFT team; propose fintech-meets-pension session for resident startups</t>
  </si>
  <si>
    <t>Fintech credibility, pilot, ecosystem intros</t>
  </si>
  <si>
    <t>Explore Fit 4 Start or partner program; check if pension topic fits their innovation support</t>
  </si>
  <si>
    <t>Innovation support, partner finding, scaling</t>
  </si>
  <si>
    <t>Inna Perepelytsya — Senior Advisor — inna.perepelytsya@luxinnovation.lu
Sven Baltes — Manager – Startup Relations — sven.baltes@luxinnovation.lu</t>
  </si>
  <si>
    <t>Contact SBI; propose social-impact angle on financial inclusion for mobile workers</t>
  </si>
  <si>
    <t>Social impact channel, inclusion angle</t>
  </si>
  <si>
    <t>Luxembourg Employers' Association (UEL)</t>
  </si>
  <si>
    <t>Research UEL employer events; identify contact for employer-facing pension content</t>
  </si>
  <si>
    <t>Employer credibility, policy visibility</t>
  </si>
  <si>
    <t>Check ALFI event calendar; propose educational session on pension rights for fund professionals</t>
  </si>
  <si>
    <t>Finance network, premium visibility</t>
  </si>
  <si>
    <t>Contact LFF team; explore thought-leadership content on pension portability for finance sector</t>
  </si>
  <si>
    <t>Finance ecosystem visibility, intros</t>
  </si>
  <si>
    <t>Jonathan Westhead — Head of Communications — jonathan.westhead@lff.lu</t>
  </si>
  <si>
    <t>Research FEDIL member events; identify HR/employer-services contact</t>
  </si>
  <si>
    <t>Industrial employer reach, B2B channel</t>
  </si>
  <si>
    <t>Check APSI events; explore digital-pension-tools angle for tech community</t>
  </si>
  <si>
    <t>Tech community, digital ecosystem</t>
  </si>
  <si>
    <t>Research LPEA events calendar; propose PE/VC-angle session on founder pension complexity</t>
  </si>
  <si>
    <t>PE/VC network, premium finance access</t>
  </si>
  <si>
    <t>Our solution is relevant to an international finance audience with highly mobile careers; LPEA's mission is to connect, inform, and represent the PE/VC ecosystem.</t>
  </si>
  <si>
    <t>Clear membership-based association, but direct contact is open.</t>
  </si>
  <si>
    <t>Claus Mansfeldt — President — claus.mansfeldt@lpea.lu
Stephane Pesch — CEO — stephane.pesch@lpea.lu
Johann Herz — Head of Events &amp; Communication — johann.herz@lpea.lu</t>
  </si>
  <si>
    <t>Contact LBAN network manager; explore startup-founder pension workshop</t>
  </si>
  <si>
    <t>Angel/founder network, startup intros</t>
  </si>
  <si>
    <t>Relevant if we position the solution for founders, investors, and internationally mobile startup operators; LBAN's mission is to connect business angels with the entrepreneurial ecosystem and support startup growth.</t>
  </si>
  <si>
    <t>Investor/startup ecosystem visibility, founder access, event/network route, community credibility.</t>
  </si>
  <si>
    <t>info@lban.lu; public contacts include Michel Rzonzef (President) and Teona Khubutia (Manager).</t>
  </si>
  <si>
    <t>Research Paperjam/Delano editorial calendar; propose thought-leadership article or interview</t>
  </si>
  <si>
    <t>Visibility, thought leadership, audience</t>
  </si>
  <si>
    <t>Aaron Grunwald — Editor-in-chief at Delano — aaron.grunwald@maisonmoderne.com
Thierry Labro — Editor-in-chief at Delano — thierry.labro@maisonmoderne.com</t>
  </si>
  <si>
    <t>ABBL – Luxembourg Bankers' Association</t>
  </si>
  <si>
    <t>Research contact route; check if ABBL has HR / mobility working group</t>
  </si>
  <si>
    <t>Banking employer reach, finance-professional access, premium visibility</t>
  </si>
  <si>
    <t>Largest financial-sector association; many member banks employ highly mobile international professionals whose pension rights fragment across countries</t>
  </si>
  <si>
    <t>Reach banks, financial intermediaries, and their internationally mobile employees; gain premium financial-sector credibility and employer-level access</t>
  </si>
  <si>
    <t>We help employers and internationally mobile professionals in finance understand and organize fragmented pension rights across countries</t>
  </si>
  <si>
    <t>Employer pilot / event / thought leadership / finance-community content</t>
  </si>
  <si>
    <t>Member-driven association; first contact open via public route</t>
  </si>
  <si>
    <t>Events, employer network, finance-sector visibility, working-group access, premium credibility</t>
  </si>
  <si>
    <t>Finance-professional pension guide, employer-facing educational session, pilot audience, thought leadership content</t>
  </si>
  <si>
    <t>Best operational contact; whether topic fits their employer/HR agenda or innovation working group</t>
  </si>
  <si>
    <t>HRCommunity.lu</t>
  </si>
  <si>
    <t>Contact via website; propose educational session on cross-border pension rights for HR professionals</t>
  </si>
  <si>
    <t>Direct HR decision-maker access, employer-benefit channel, event route</t>
  </si>
  <si>
    <t>Reference HR community in Luxembourg since 1992; their member companies manage internationally mobile employees whose pension rights are a real HR pain point</t>
  </si>
  <si>
    <t>Direct access to HR directors and people managers across all sectors; visibility as an expert solution for cross-border employee benefits</t>
  </si>
  <si>
    <t>We help HR professionals support internationally mobile employees facing fragmented pension rights across countries</t>
  </si>
  <si>
    <t>Event / workshop / content / employer pilot</t>
  </si>
  <si>
    <t>Membership-based community of HR professionals; contact open through website</t>
  </si>
  <si>
    <t>HR-community events, employer network, sector-wide HR visibility, knowledge-sharing platform</t>
  </si>
  <si>
    <t>Cross-border pension workshop for HR teams, practical employer guide, pilot group, thought leadership</t>
  </si>
  <si>
    <t>Whether they host external expert sessions; best contact for partnership discussions</t>
  </si>
  <si>
    <t>ADEM – Agence pour le Développement de l'Emploi</t>
  </si>
  <si>
    <t>Research public contact route; explore if they have expat integration or employer-services team</t>
  </si>
  <si>
    <t>Expat integration channel, employer services, public-sector credibility</t>
  </si>
  <si>
    <t>Luxembourg's public employment agency; directly assists cross-border workers and expats with professional integration — pension and social security clarity is a natural extension</t>
  </si>
  <si>
    <t>Reach internationally mobile jobseekers and employers through ADEM's integration services; public-sector credibility and visibility</t>
  </si>
  <si>
    <t>We help internationally mobile professionals and employers understand and organize fragmented pension rights across countries</t>
  </si>
  <si>
    <t>Information partnership / content / referral / workshop</t>
  </si>
  <si>
    <t>Public institution; contact open through official channels</t>
  </si>
  <si>
    <t>Expat integration reach, employer services access, public-sector referral channel, credibility</t>
  </si>
  <si>
    <t>Pension-rights information resource for expats, employer guide, educational content for integration services</t>
  </si>
  <si>
    <t>Whether they have an employer-services or expat-integration team; best contact route for partnerships</t>
  </si>
  <si>
    <t>Luxembourg-City Incubator (LCI)</t>
  </si>
  <si>
    <t>Contact via HoST or directly; check if incubated startups fit as pilot audience</t>
  </si>
  <si>
    <t>International founder access, startup pilot users, ecosystem intro</t>
  </si>
  <si>
    <t>City-backed incubator for early-stage companies; many incubated founders are internationally mobile and face cross-border pension complexity</t>
  </si>
  <si>
    <t>Access to international startup founders as pilot users; visibility in the incubator ecosystem; complementary channel to HoST</t>
  </si>
  <si>
    <t>Workshop / pilot / ecosystem intro</t>
  </si>
  <si>
    <t>Backed by City of Luxembourg and Chamber of Commerce; likely mission-based, open to collaboration</t>
  </si>
  <si>
    <t>Startup-founder access, event channel, incubator community, pilot audience</t>
  </si>
  <si>
    <t>Founder pension workshop, practical guide, pilot session for incubated startups</t>
  </si>
  <si>
    <t>Whether collaboration needs to go through HoST or can be direct; best contact for event/workshop proposals</t>
  </si>
  <si>
    <t>Technoport</t>
  </si>
  <si>
    <t>Contact via website; check if they run community events for resident startups</t>
  </si>
  <si>
    <t>International startup access, tech-founder community, ecosystem intro</t>
  </si>
  <si>
    <t>National technology incubator; often the first local hub for international startups arriving in Luxembourg — these founders face immediate cross-border pension fragmentation</t>
  </si>
  <si>
    <t>Reach international tech founders at the moment they relocate to Luxembourg; pilot-user access and ecosystem credibility</t>
  </si>
  <si>
    <t>Workshop / pilot / ecosystem intro / content</t>
  </si>
  <si>
    <t>Public incubator; likely mission-based and open to collaboration</t>
  </si>
  <si>
    <t>International-founder community, event channel, ecosystem credibility, early-stage access</t>
  </si>
  <si>
    <t>Founder pension workshop, relocation guide for international startups, pilot session</t>
  </si>
  <si>
    <t>Whether they run community programming; best contact for workshop/content proposals</t>
  </si>
  <si>
    <t>CFA Society Luxembourg</t>
  </si>
  <si>
    <t>Check CFA Society events calendar; propose educational session on pension portability for CFA members</t>
  </si>
  <si>
    <t>Finance-professional network, premium credibility, educational events</t>
  </si>
  <si>
    <t>Professional society for CFA charterholders and candidates since 2003; members are highly international finance professionals — exactly the profile with fragmented pension rights across multiple countries</t>
  </si>
  <si>
    <t>Direct access to internationally mobile investment professionals; high pension-relevance; monthly educational conferences and networking events with 20-200 attendees</t>
  </si>
  <si>
    <t>We help internationally mobile finance professionals understand and organize pension rights scattered across the countries where they've built their careers</t>
  </si>
  <si>
    <t>Event / educational session / thought leadership / professional development content</t>
  </si>
  <si>
    <t>Membership open to CFA Institute members and candidates; events generally open to members; speaker proposals likely welcome</t>
  </si>
  <si>
    <t>Monthly conferences, networking events, newsletter, premium finance-professional audience, educational platform</t>
  </si>
  <si>
    <t>Pension-portability educational session for CFA members, practical guide for internationally mobile finance professionals, thought leadership content</t>
  </si>
  <si>
    <t>Whether they host external speaker sessions; best contact for educational content proposals</t>
  </si>
  <si>
    <t>ACA – Association des Compagnies d'Assurances</t>
  </si>
  <si>
    <t>Contact ACA; explore pension/insurance pillar 2-3 content collaboration</t>
  </si>
  <si>
    <t>Insurance industry access, pension-pillar expertise, policy credibility</t>
  </si>
  <si>
    <t>Professional association of 146 Luxembourg insurers and reinsurers; directly involved in government consultations on Luxembourg's public pension system and second/third pillar reform</t>
  </si>
  <si>
    <t>Access to the insurance industry that designs and distributes pension products; partnership credibility on pension topics; visibility in policy discussions</t>
  </si>
  <si>
    <t>We complement pillar 2-3 pension products by helping internationally mobile workers understand their fragmented pillar 1 rights across countries</t>
  </si>
  <si>
    <t>Content partnership / thought leadership / event / policy input</t>
  </si>
  <si>
    <t>Member-driven industry association; contact via ACA management</t>
  </si>
  <si>
    <t>Insurance industry network, pension policy access, events, working groups, House of Finance co-location with ABBL/ALFI/LFF</t>
  </si>
  <si>
    <t>Cross-border pension insight for insurance members, educational content for employers using pillar 2-3 products, thought leadership</t>
  </si>
  <si>
    <t>Whether pension/employee-benefits working group exists; best contact for content partnership</t>
  </si>
  <si>
    <t>ILA – Institut Luxembourgeois des Administrateurs</t>
  </si>
  <si>
    <t>Check ILA events calendar; propose governance-angle session on pension portability for board directors</t>
  </si>
  <si>
    <t>Senior executive access, governance community, board-level credibility</t>
  </si>
  <si>
    <t>Luxembourg's leading institute for corporate directors and governance professionals since 2005; 3,500+ members including board directors of international companies with careers spanning multiple countries</t>
  </si>
  <si>
    <t>Access to 3,500+ senior governance professionals — exactly the profile with fragmented pension rights from multi-country board careers; training/certification events</t>
  </si>
  <si>
    <t>Board directors with international careers have pension rights scattered across multiple countries. We help them track and organize those rights.</t>
  </si>
  <si>
    <t>Training session / governance event / thought leadership / member benefit</t>
  </si>
  <si>
    <t>Membership-based; offers training, certification, and networking; open to speaker proposals</t>
  </si>
  <si>
    <t>3,500+ member network, training events, governance certifications, newsletter, ecoDa European network</t>
  </si>
  <si>
    <t>Pension-portability session for board directors, practical guide for governance professionals, thought leadership</t>
  </si>
  <si>
    <t>Whether they host external expert sessions in their training program; best contact for partnership</t>
  </si>
  <si>
    <t>ILAC – Institut Luxembourgeois des Actuaires</t>
  </si>
  <si>
    <t>Contact ILAC bureau; propose actuarial-angle session on cross-border pension portability</t>
  </si>
  <si>
    <t>Pension-specialist community, technical credibility, insurance-sector access</t>
  </si>
  <si>
    <t>Institute of ~300 actuaries active in Luxembourg since 1992; actuaries are pension specialists by profession — they design and value the pension products that internationally mobile workers accumulate across countries</t>
  </si>
  <si>
    <t>Access to 300 pension/insurance specialists; natural amplifiers who understand the technical complexity; conferences attract 150+ professionals</t>
  </si>
  <si>
    <t>Actuaries understand cross-border pension complexity better than anyone. We give their clients the tools to navigate it.</t>
  </si>
  <si>
    <t>Conference session / technical partnership / CPD content</t>
  </si>
  <si>
    <t>Professional institute; regular open conferences; CPD program for members</t>
  </si>
  <si>
    <t>Actuarial conferences, CPD program, technical community, Actuview platform partnership</t>
  </si>
  <si>
    <t>Cross-border pension data/insight session for actuaries, CPD-eligible content, technical partnership</t>
  </si>
  <si>
    <t>Whether CPD session proposals are open; best contact at ILAC bureau</t>
  </si>
  <si>
    <t>AMMD – Association des Médecins et Médecins-Dentistes</t>
  </si>
  <si>
    <t>Contact AMMD secretariat; explore whether pension/financial-planning content fits their member services</t>
  </si>
  <si>
    <t>Medical professional access, healthcare-sector credibility, CNS/social security link</t>
  </si>
  <si>
    <t>Luxembourg's most representative medical association since 1904; key liaison between the medical profession, the Ministry of Health, and the CNS (national health fund). Doctors in LU are highly international — many trained abroad with pension rights in other countries.</t>
  </si>
  <si>
    <t>Access to ~800-900 doctors and dentists, many of whom trained and worked abroad before settling in LU; direct link to CNS and social security system</t>
  </si>
  <si>
    <t>Doctors who trained and worked in other countries before practicing in Luxembourg have pension rights scattered across multiple systems. We help them track and organize those rights.</t>
  </si>
  <si>
    <t>Member information service / event / content partnership</t>
  </si>
  <si>
    <t>Membership requires practicing authorization in LU; union-like structure; contact via secretariat</t>
  </si>
  <si>
    <t>Medical professional network, member communications, Scientific Council, link to CNS/Ministry of Health</t>
  </si>
  <si>
    <t>Pension-rights information resource for international doctors, practical guide for medical professionals relocating to/from LU</t>
  </si>
  <si>
    <t>Whether they provide member services beyond union representation; best contact for information partnership</t>
  </si>
  <si>
    <t>INGSCI – Ingénieurs et Scientifiques du Luxembourg</t>
  </si>
  <si>
    <t>Contact INGSCI via secretariat; explore whether pension topic fits their Journée de l'Ingénieur or conference program</t>
  </si>
  <si>
    <t>Engineering professional access, cross-border network (Saar-Lor-Lux), industry events</t>
  </si>
  <si>
    <t>Luxembourg's voluntary association for engineers, architects, scientists and industrials; hosts the annual Journée de l'Ingénieur, conferences, and cross-border Saar-Lor-Lux events with engineering associations in Germany and France. Many members trained abroad.</t>
  </si>
  <si>
    <t>Access to internationally trained engineers with careers spanning multiple countries; cross-border cooperation with DE/FR engineering associations directly touches pension fragmentation zone</t>
  </si>
  <si>
    <t>Engineers who trained and worked in multiple countries before settling in Luxembourg have pension rights scattered across those systems. We help them organize and understand those rights.</t>
  </si>
  <si>
    <t>Conference session / Journée de l'Ingénieur / cross-border event / content</t>
  </si>
  <si>
    <t>Voluntary membership; hosts events at Forum da Vinci; open to speaker proposals</t>
  </si>
  <si>
    <t>Annual Journée de l'Ingénieur, conferences, cross-border Saar-Lor-Lux network, Forum da Vinci venue, publications</t>
  </si>
  <si>
    <t>Cross-border pension workshop for engineers, practical guide for mobile professionals, Saar-Lor-Lux themed session</t>
  </si>
  <si>
    <t>Whether Journée de l'Ingénieur accepts external speakers; best contact at secretariat</t>
  </si>
  <si>
    <t>Barreau de Luxembourg (Bar Association)</t>
  </si>
  <si>
    <t>Research Barreau CPD program; check if pension/social-security topic qualifies for CLE points</t>
  </si>
  <si>
    <t>Legal professional access, CPD channel, cross-border expertise community</t>
  </si>
  <si>
    <t>Luxembourg Bar Association with 3,250 members; very international — EU lawyers can register under home-country title. Major international law firms (A&amp;O, Clifford Chance, etc.) have LU offices. Lawyers require 16 CPD points/year. Many cross-border practitioners.</t>
  </si>
  <si>
    <t>Access to 3,250 legal professionals, many internationally mobile; CPD requirement creates event attendance; cross-border lawyers face pension fragmentation between home country and LU</t>
  </si>
  <si>
    <t>Lawyers with international careers across multiple jurisdictions have pension rights scattered in each country they've practiced. We help them track and organize those rights.</t>
  </si>
  <si>
    <t>CPD session / conference / member information</t>
  </si>
  <si>
    <t>Statutory professional body; mandatory membership; runs CPD program; more regulatory than networking-focused</t>
  </si>
  <si>
    <t>3,250-member reach, CPD training program, professional directory, disciplinary authority</t>
  </si>
  <si>
    <t>CPD-eligible session on cross-border pension rights for legal practitioners, practical guide for international lawyers in LU</t>
  </si>
  <si>
    <t>Whether pension/financial topic qualifies for CPD points; whether external speakers can propose sessions; contact at Bar Council</t>
  </si>
  <si>
    <t>OEC – Ordre des Experts-Comptables</t>
  </si>
  <si>
    <t>Contact OEC; explore whether cross-border pension/tax topic fits their CPD program (60 credits/3 years)</t>
  </si>
  <si>
    <t>Accountancy professional access, CPD channel, fund-industry link, tax/pension expertise community</t>
  </si>
  <si>
    <t>Professional order for 1,168 chartered accountants and 553 firms in Luxembourg; mandatory membership. Many serve the fund industry (€3.5T+ AUM) and international corporate structures. EU-qualified accountants can practice in LU under mutual recognition — highly international workforce.</t>
  </si>
  <si>
    <t>Access to 1,168 accountants who advise international clients on tax/financial structures; CPD requirement (60 credits/3 years) creates captive training audience; direct link to fund industry</t>
  </si>
  <si>
    <t>Chartered accountants advise internationally mobile clients and employers on tax and financial planning. Cross-border pension rights are a natural extension of that advice.</t>
  </si>
  <si>
    <t>CPD session / training content / professional development</t>
  </si>
  <si>
    <t>Mandatory professional order; CPD program with training partnerships; co-located at 14 rue Erasme</t>
  </si>
  <si>
    <t>1,168-member reach, CPD training program, peer review system, Accountancy Europe membership, fund industry connection</t>
  </si>
  <si>
    <t>CPD-eligible session on cross-border pension rights for accountants, practical guide for advising internationally mobile clients, tax-pension integration content</t>
  </si>
  <si>
    <t>Whether external CPD content proposals are accepted; contact at OEC secretariat</t>
  </si>
  <si>
    <t>Country Link</t>
  </si>
  <si>
    <t>US / EN-speaking</t>
  </si>
  <si>
    <t>Country Community</t>
  </si>
  <si>
    <t>Check AMCHAM events calendar; explore committee membership or speaker opportunity</t>
  </si>
  <si>
    <t>Employer reach, expat events, committees</t>
  </si>
  <si>
    <t>Educational session, employer-benefit angle, guide, sharing news on changes in pension rights.</t>
  </si>
  <si>
    <t>UK / EN-speaking</t>
  </si>
  <si>
    <t>Contact BCC events team; propose pension-rights session for British expats in LU</t>
  </si>
  <si>
    <t>Expat events, employer reach, referrals</t>
  </si>
  <si>
    <t>Community access, Events, business forums, member network</t>
  </si>
  <si>
    <t>CCIPL / Portugal–Luxembourg Chamber (ccill.lu)</t>
  </si>
  <si>
    <t>PT</t>
  </si>
  <si>
    <t>Country Association</t>
  </si>
  <si>
    <t>Contact CCIPL; propose pension workshop for Portuguese community in LU</t>
  </si>
  <si>
    <t>PT community reach, events, referrals</t>
  </si>
  <si>
    <t>Community access, events, business introductions, newsletter potential, visibility</t>
  </si>
  <si>
    <t>Luxembourg-Poland Chamber of Commerce (LPCC) (lpcc.lu)</t>
  </si>
  <si>
    <t>PL</t>
  </si>
  <si>
    <t>Contact LPCC; explore joint event on pension rights for Polish professionals in LU</t>
  </si>
  <si>
    <t>PL community reach, events, referrals</t>
  </si>
  <si>
    <t>Official Spanish Chamber of Commerce in Belgium and Luxembourg (e-camara.com)</t>
  </si>
  <si>
    <t>ES</t>
  </si>
  <si>
    <t>Research Spanish Chamber events; identify contact for partnership proposal</t>
  </si>
  <si>
    <t>ES community reach, events, referrals</t>
  </si>
  <si>
    <t>Likely member-driven; collaboration may depend on format or sponsorship (direct contact?)</t>
  </si>
  <si>
    <t>IT</t>
  </si>
  <si>
    <t>Contact Italian Chamber; propose pension-rights session for Italian professionals</t>
  </si>
  <si>
    <t>IT community reach, events, referrals</t>
  </si>
  <si>
    <t>Luisa Castelli — Secrétaire général / Directeur — l.castelli@ccil.lu</t>
  </si>
  <si>
    <t>FR</t>
  </si>
  <si>
    <t>Contact CCI France; explore cross-border pension content for French community</t>
  </si>
  <si>
    <t>FR community reach, events, credibility</t>
  </si>
  <si>
    <t>Clear membership model and business club logic; first contact open, deeper visibility likely easier through partnership or member-style collaboration</t>
  </si>
  <si>
    <t>Alexandra Benel, Director — alexandra.benel@cfci.lu; general cfci@cfci.lu</t>
  </si>
  <si>
    <t>CH</t>
  </si>
  <si>
    <t>Low</t>
  </si>
  <si>
    <t>Research Swiss Club events; check if pension topic fits their networking format</t>
  </si>
  <si>
    <t>CH community reach, cross-border events</t>
  </si>
  <si>
    <t>BE</t>
  </si>
  <si>
    <t>Contact BCBL; propose pension-rights session for Belgian professionals in LU</t>
  </si>
  <si>
    <t>BE community reach, events, referrals</t>
  </si>
  <si>
    <t>Appears to be member-based business club; first contact open; deeper collaboration likely depends on club format or membership/sponsorship</t>
  </si>
  <si>
    <t>AHK debelux – German-Belgian-Luxembourg Chamber of Commerce</t>
  </si>
  <si>
    <t>DE</t>
  </si>
  <si>
    <t>Check if AHK debelux has a LU-specific working group or events; identify contact for partnership</t>
  </si>
  <si>
    <t>German community employer access, cross-border worker channel</t>
  </si>
  <si>
    <t>~12,700 Germans resident in LU + ~50,000 daily cross-border commuters from DE; pension fragmentation between DE and LU social security systems is extremely common</t>
  </si>
  <si>
    <t>Access German employers and cross-border professionals in LU; high pension-relevance given DE-LU commuter flows</t>
  </si>
  <si>
    <t>We help employers and cross-border professionals between Germany and Luxembourg organize fragmented pension rights across both systems</t>
  </si>
  <si>
    <t>Employer pilot / event / cross-border content</t>
  </si>
  <si>
    <t>Bilateral chamber established since 1894; open to collaboration via events and seminars</t>
  </si>
  <si>
    <t>Events, employer network, cross-border employer access, B2B intros, seminar channel</t>
  </si>
  <si>
    <t>Cross-border pension guide, DE-LU employer session, practical content for German professionals in LU</t>
  </si>
  <si>
    <t>Whether they have Luxembourg-specific events; best contact for partnership proposals</t>
  </si>
  <si>
    <t>ROMLUX – Romania Luxemburg Business Forum</t>
  </si>
  <si>
    <t>RO</t>
  </si>
  <si>
    <t>Contact via website; propose educational session on pension rights for Romanian professionals in LU</t>
  </si>
  <si>
    <t>Romanian community access, startup/tech channel, cultural bridge</t>
  </si>
  <si>
    <t>~6,500 Romanians in LU (1% of population, top-10 nationality), fast-growing community; many young professionals in finance and tech with fragmented pension rights between RO and LU</t>
  </si>
  <si>
    <t>Reach Romanian professionals and entrepreneurs in Luxembourg; growing community with strong pension-fragmentation relevance</t>
  </si>
  <si>
    <t>We help Romanian professionals in Luxembourg understand and organize pension rights built across Romania, Luxembourg and other EU countries</t>
  </si>
  <si>
    <t>Event / community content / networking partnership</t>
  </si>
  <si>
    <t>Accredited bilateral chamber; 177 members; very active events calendar; partners with BCC, CC, Luxinnovation</t>
  </si>
  <si>
    <t>Community events, networking, business directory access, startup channel, cultural events</t>
  </si>
  <si>
    <t>Pension-rights workshop for Romanian professionals, practical EU pension guide, pilot audience</t>
  </si>
  <si>
    <t>Whether they host educational sessions; best contact for partnership discussions</t>
  </si>
  <si>
    <t>NOBELUX – Nordic Chamber of Commerce</t>
  </si>
  <si>
    <t>Nordic</t>
  </si>
  <si>
    <t>Contact NOBELUX; explore whether pension topic fits their events or member services</t>
  </si>
  <si>
    <t>Nordic finance professional access, high-income expat community, FinTech network</t>
  </si>
  <si>
    <t>~7,200 Nordic/Baltic residents in LU; mostly high-income finance and EU-institution professionals with careers spanning Scandinavia, UK, and continental Europe. Nordic pension systems are strong but fragmented across countries.</t>
  </si>
  <si>
    <t>Reach Nordic professionals in Luxembourg's finance sector; high-value audience with pension rights split across Nordic and EU systems</t>
  </si>
  <si>
    <t>Nordic professionals working in Luxembourg have pension rights in Scandinavian systems (strong but different from each other and from LU). We help them consolidate the picture across all countries.</t>
  </si>
  <si>
    <t>Event / FinTech pavilion / networking / member content</t>
  </si>
  <si>
    <t>Independent membership org; covers DK, FI, IS, NO, SE; events incl. FinTech pavilions; business networking</t>
  </si>
  <si>
    <t>Business networking events, FinTech pavilions, bilateral trade events, member communications</t>
  </si>
  <si>
    <t>Pension-portability session for Nordic expats, practical guide for Scandinavian professionals in LU, FinTech-pension angle</t>
  </si>
  <si>
    <t>Whether they host educational content; best contact for partnership; FinTech angle vs general events</t>
  </si>
  <si>
    <t>Country</t>
  </si>
  <si>
    <t>Ring</t>
  </si>
  <si>
    <t>Country / Community</t>
  </si>
  <si>
    <t>Type of Organization</t>
  </si>
  <si>
    <t>Original Category</t>
  </si>
  <si>
    <t>Current Priority</t>
  </si>
  <si>
    <t>Contact Access</t>
  </si>
  <si>
    <t>Credibility Power</t>
  </si>
  <si>
    <t>Customer Reach Potential</t>
  </si>
  <si>
    <t>Market Expansion Value</t>
  </si>
  <si>
    <t>Strategic Route</t>
  </si>
  <si>
    <t>Recommended Timing</t>
  </si>
  <si>
    <t>Primary Goal</t>
  </si>
  <si>
    <t>First Ask</t>
  </si>
  <si>
    <t>Luxembourg-wide</t>
  </si>
  <si>
    <t>Hub / Public / Ecosystem</t>
  </si>
  <si>
    <t>Direct contact</t>
  </si>
  <si>
    <t>Credibility-first</t>
  </si>
  <si>
    <t>Weeks 3–6</t>
  </si>
  <si>
    <t>Secure logo / trust signal and warm intros before broad outreach</t>
  </si>
  <si>
    <t>Intro meeting + co-branded educational format</t>
  </si>
  <si>
    <t>Association / Federation / Professional body</t>
  </si>
  <si>
    <t>Mixed</t>
  </si>
  <si>
    <t>Test fit, visibility, and targeted user acquisition</t>
  </si>
  <si>
    <t>Exploratory call to identify best collaboration format</t>
  </si>
  <si>
    <t>Country / Bilateral Chamber</t>
  </si>
  <si>
    <t>No contact</t>
  </si>
  <si>
    <t>General contact</t>
  </si>
  <si>
    <t>Access target users and community sign-ups in Luxembourg</t>
  </si>
  <si>
    <t>Webinar / event / newsletter feature for the target community</t>
  </si>
  <si>
    <t>HR network</t>
  </si>
  <si>
    <t>Customer reach first</t>
  </si>
  <si>
    <t>B2B pilot</t>
  </si>
  <si>
    <t>Weeks 2–4</t>
  </si>
  <si>
    <t>Open HR / employer pilot conversations and employee-benefit angle</t>
  </si>
  <si>
    <t>Short meeting on employee pilot or HR content collaboration</t>
  </si>
  <si>
    <t>Weeks 8+</t>
  </si>
  <si>
    <t>Build corridor bridge for France / PT / IT / BE / DE / CH expansion</t>
  </si>
  <si>
    <t>Bilateral-community event and cross-country visibility</t>
  </si>
  <si>
    <t>International business community</t>
  </si>
  <si>
    <t>Lower-priority community reach (defer)</t>
  </si>
  <si>
    <t>Later / not in current expansion-priority list</t>
  </si>
  <si>
    <t>Keep warm only; no active outreach until Poland becomes a priority corridor</t>
  </si>
  <si>
    <t>Keep in backlog; not tied to current launch/expansion sequence</t>
  </si>
  <si>
    <t>Start outreach in Weeks 1–3; propose early France-linked community session tied to launch countries</t>
  </si>
  <si>
    <t>Expansion-bridge (Portugal; timed to Y1 window)</t>
  </si>
  <si>
    <t>Prepare contact and draft offer now; outreach in Months 11–12 before Portugal expansion</t>
  </si>
  <si>
    <t>Expansion-bridge (Italy; timed to Y1 window)</t>
  </si>
  <si>
    <t>Prepare contact and draft offer now; outreach in Weeks 35–36 before Italy expansion</t>
  </si>
  <si>
    <t>Keep in tracker; do not prioritize in current wave unless Spain/UK track is confirmed</t>
  </si>
  <si>
    <t>Start outreach in Weeks 1–3; use Swiss-linked angle for early credibility and launch-country alignment</t>
  </si>
  <si>
    <t>Weeks 1–3</t>
  </si>
  <si>
    <t>Weeks 11–12 (Y1;  Portugal expansion)</t>
  </si>
  <si>
    <t>Weeks 35–36 (Y1;  Italy expansion)</t>
  </si>
  <si>
    <t xml:space="preserve">Weeks 1–3 </t>
  </si>
  <si>
    <t xml:space="preserve">Credibility + expansion bridge </t>
  </si>
  <si>
    <t>weeks 19-20 (Y1;  Spain expansion)</t>
  </si>
  <si>
    <t>Weeks 2-4</t>
  </si>
  <si>
    <t>weeks 27-28 (Y1; UK expansion)</t>
  </si>
  <si>
    <t>Build corridor bridge for FR / PT / IT / UK / CH/ SP expansion</t>
  </si>
  <si>
    <t xml:space="preserve">Customer reach first </t>
  </si>
  <si>
    <t>Expansion-bridge (UK; timed to Y1 window)</t>
  </si>
  <si>
    <t>Expansion-bridge (Spain; timed to Y1 window)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</si>
</sst>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467886"/>
      <name val="Arial"/>
      <family val="2"/>
    </font>
    <font>
      <sz val="12"/>
      <color rgb="FF000000"/>
      <name val="Aptos Narrow"/>
    </font>
    <font>
      <sz val="10"/>
      <color rgb="FF000000"/>
      <name val="Arimo"/>
    </font>
    <font>
      <sz val="12"/>
      <color theme="10"/>
      <name val="Aptos Narrow"/>
    </font>
    <font>
      <sz val="12"/>
      <color rgb="FF000000"/>
      <name val="Arial"/>
      <family val="2"/>
    </font>
    <font>
      <sz val="12"/>
      <color rgb="FF000000"/>
      <name val="Aptos Narrow"/>
    </font>
    <font>
      <sz val="12"/>
      <color rgb="FF000000"/>
      <name val="Arial"/>
      <family val="2"/>
    </font>
    <font>
      <sz val="12"/>
      <color rgb="FF275317"/>
      <name val="Aptos Narrow"/>
    </font>
    <font>
      <sz val="12"/>
      <color theme="1"/>
      <name val="Aptos Narrow"/>
    </font>
    <font>
      <sz val="12"/>
      <color rgb="FFFF0000"/>
      <name val="Aptos Narrow (Body)"/>
    </font>
    <font>
      <b/>
      <sz val="12"/>
      <color rgb="FF000000"/>
      <name val="Aptos Narrow"/>
    </font>
    <font>
      <sz val="12"/>
      <color theme="10"/>
      <name val="Aptos Narrow"/>
    </font>
    <font>
      <b/>
      <sz val="12"/>
      <color rgb="FFFFFFFF"/>
      <name val="Aptos Narrow"/>
    </font>
    <font>
      <b/>
      <sz val="12"/>
      <color theme="1"/>
      <name val="Aptos Narrow"/>
    </font>
    <font>
      <sz val="12"/>
      <color rgb="FF999999"/>
      <name val="Aptos Narrow"/>
    </font>
    <font>
      <b/>
      <sz val="18"/>
      <color rgb="FF356854"/>
      <name val="Aptos Narrow"/>
    </font>
    <font>
      <i/>
      <sz val="11"/>
      <color rgb="FF666666"/>
      <name val="Aptos Narrow"/>
    </font>
    <font>
      <sz val="8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6F8F9"/>
      </patternFill>
    </fill>
    <fill>
      <patternFill patternType="solid">
        <fgColor rgb="FFE8F0ED"/>
      </patternFill>
    </fill>
    <fill>
      <patternFill patternType="solid">
        <fgColor rgb="FFFFFFFF"/>
      </patternFill>
    </fill>
    <fill>
      <patternFill patternType="solid">
        <fgColor rgb="FF2A9D6E"/>
      </patternFill>
    </fill>
    <fill>
      <patternFill patternType="solid">
        <fgColor rgb="FF7B68AE"/>
      </patternFill>
    </fill>
    <fill>
      <patternFill patternType="solid">
        <fgColor rgb="FFD05A3A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AFAFA"/>
      </patternFill>
    </fill>
    <fill>
      <patternFill patternType="solid">
        <fgColor rgb="FFD0E0E3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auto="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auto="1"/>
      </right>
      <top style="thin">
        <color rgb="FFD9D9D9"/>
      </top>
      <bottom/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/>
      <right style="thin">
        <color rgb="FF000000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37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15" fillId="6" borderId="4" xfId="0" applyFont="1" applyFill="1" applyBorder="1"/>
    <xf numFmtId="0" fontId="15" fillId="6" borderId="5" xfId="0" applyFont="1" applyFill="1" applyBorder="1"/>
    <xf numFmtId="0" fontId="15" fillId="6" borderId="6" xfId="0" applyFont="1" applyFill="1" applyBorder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3" borderId="12" xfId="0" applyFill="1" applyBorder="1" applyAlignment="1">
      <alignment vertical="top" wrapText="1"/>
    </xf>
    <xf numFmtId="0" fontId="15" fillId="7" borderId="4" xfId="0" applyFont="1" applyFill="1" applyBorder="1"/>
    <xf numFmtId="0" fontId="15" fillId="7" borderId="5" xfId="0" applyFont="1" applyFill="1" applyBorder="1"/>
    <xf numFmtId="0" fontId="15" fillId="7" borderId="6" xfId="0" applyFont="1" applyFill="1" applyBorder="1"/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5" fillId="8" borderId="4" xfId="0" applyFont="1" applyFill="1" applyBorder="1"/>
    <xf numFmtId="0" fontId="15" fillId="8" borderId="5" xfId="0" applyFont="1" applyFill="1" applyBorder="1"/>
    <xf numFmtId="0" fontId="15" fillId="8" borderId="6" xfId="0" applyFont="1" applyFill="1" applyBorder="1"/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17" fillId="3" borderId="7" xfId="0" applyFont="1" applyFill="1" applyBorder="1" applyAlignment="1">
      <alignment vertical="top" wrapText="1"/>
    </xf>
    <xf numFmtId="0" fontId="17" fillId="3" borderId="8" xfId="0" applyFont="1" applyFill="1" applyBorder="1" applyAlignment="1">
      <alignment vertical="top" wrapText="1"/>
    </xf>
    <xf numFmtId="0" fontId="17" fillId="3" borderId="9" xfId="0" applyFont="1" applyFill="1" applyBorder="1" applyAlignment="1">
      <alignment vertical="top" wrapText="1"/>
    </xf>
    <xf numFmtId="0" fontId="17" fillId="3" borderId="10" xfId="0" applyFont="1" applyFill="1" applyBorder="1" applyAlignment="1">
      <alignment vertical="top" wrapText="1"/>
    </xf>
    <xf numFmtId="0" fontId="17" fillId="3" borderId="11" xfId="0" applyFont="1" applyFill="1" applyBorder="1" applyAlignment="1">
      <alignment vertical="top" wrapText="1"/>
    </xf>
    <xf numFmtId="0" fontId="17" fillId="3" borderId="12" xfId="0" applyFont="1" applyFill="1" applyBorder="1" applyAlignment="1">
      <alignment vertical="top" wrapText="1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5" fillId="2" borderId="15" xfId="0" applyFont="1" applyFill="1" applyBorder="1"/>
    <xf numFmtId="0" fontId="16" fillId="0" borderId="16" xfId="0" applyFont="1" applyBorder="1"/>
    <xf numFmtId="0" fontId="16" fillId="3" borderId="16" xfId="0" applyFont="1" applyFill="1" applyBorder="1"/>
    <xf numFmtId="0" fontId="16" fillId="4" borderId="17" xfId="0" applyFont="1" applyFill="1" applyBorder="1"/>
    <xf numFmtId="0" fontId="15" fillId="2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6" xfId="0" applyBorder="1"/>
    <xf numFmtId="0" fontId="0" fillId="3" borderId="16" xfId="0" applyFill="1" applyBorder="1"/>
    <xf numFmtId="0" fontId="0" fillId="3" borderId="17" xfId="0" applyFill="1" applyBorder="1"/>
    <xf numFmtId="0" fontId="16" fillId="0" borderId="19" xfId="0" applyFont="1" applyBorder="1" applyAlignment="1">
      <alignment horizontal="center"/>
    </xf>
    <xf numFmtId="0" fontId="16" fillId="3" borderId="19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4" fillId="0" borderId="7" xfId="1" applyBorder="1" applyAlignment="1">
      <alignment vertical="top" wrapText="1"/>
    </xf>
    <xf numFmtId="0" fontId="14" fillId="3" borderId="7" xfId="1" applyFill="1" applyBorder="1" applyAlignment="1">
      <alignment vertical="top" wrapText="1"/>
    </xf>
    <xf numFmtId="0" fontId="14" fillId="0" borderId="11" xfId="1" applyBorder="1" applyAlignment="1">
      <alignment vertical="top" wrapText="1"/>
    </xf>
    <xf numFmtId="0" fontId="14" fillId="3" borderId="21" xfId="1" applyFill="1" applyBorder="1" applyAlignment="1">
      <alignment vertical="top" wrapText="1"/>
    </xf>
    <xf numFmtId="0" fontId="14" fillId="5" borderId="21" xfId="1" applyFill="1" applyBorder="1" applyAlignment="1">
      <alignment vertical="top" wrapText="1"/>
    </xf>
    <xf numFmtId="0" fontId="0" fillId="5" borderId="22" xfId="0" applyFill="1" applyBorder="1" applyAlignment="1">
      <alignment vertical="top" wrapText="1"/>
    </xf>
    <xf numFmtId="0" fontId="0" fillId="5" borderId="23" xfId="0" applyFill="1" applyBorder="1" applyAlignment="1">
      <alignment vertical="top" wrapText="1"/>
    </xf>
    <xf numFmtId="0" fontId="0" fillId="5" borderId="22" xfId="0" applyFill="1" applyBorder="1"/>
    <xf numFmtId="0" fontId="14" fillId="3" borderId="10" xfId="1" applyFill="1" applyBorder="1" applyAlignment="1">
      <alignment vertical="top" wrapText="1"/>
    </xf>
    <xf numFmtId="0" fontId="0" fillId="3" borderId="11" xfId="0" applyFill="1" applyBorder="1"/>
    <xf numFmtId="0" fontId="14" fillId="5" borderId="10" xfId="1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1" xfId="0" applyFill="1" applyBorder="1"/>
    <xf numFmtId="0" fontId="0" fillId="5" borderId="12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8" xfId="0" applyFill="1" applyBorder="1"/>
    <xf numFmtId="0" fontId="0" fillId="5" borderId="9" xfId="0" applyFill="1" applyBorder="1" applyAlignment="1">
      <alignment vertical="top" wrapText="1"/>
    </xf>
    <xf numFmtId="0" fontId="8" fillId="3" borderId="22" xfId="0" applyFont="1" applyFill="1" applyBorder="1" applyAlignment="1">
      <alignment vertical="top" wrapText="1"/>
    </xf>
    <xf numFmtId="0" fontId="8" fillId="3" borderId="23" xfId="0" applyFont="1" applyFill="1" applyBorder="1" applyAlignment="1">
      <alignment vertical="top" wrapText="1"/>
    </xf>
    <xf numFmtId="0" fontId="8" fillId="3" borderId="22" xfId="0" applyFont="1" applyFill="1" applyBorder="1"/>
    <xf numFmtId="0" fontId="14" fillId="5" borderId="10" xfId="1" applyFill="1" applyBorder="1"/>
    <xf numFmtId="0" fontId="0" fillId="5" borderId="12" xfId="0" applyFill="1" applyBorder="1"/>
    <xf numFmtId="0" fontId="14" fillId="5" borderId="7" xfId="1" applyFill="1" applyBorder="1"/>
    <xf numFmtId="0" fontId="0" fillId="5" borderId="9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0" borderId="3" xfId="0" applyBorder="1"/>
    <xf numFmtId="0" fontId="15" fillId="6" borderId="26" xfId="0" applyFont="1" applyFill="1" applyBorder="1"/>
    <xf numFmtId="0" fontId="0" fillId="3" borderId="27" xfId="0" applyFill="1" applyBorder="1"/>
    <xf numFmtId="0" fontId="15" fillId="6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/>
    <xf numFmtId="0" fontId="0" fillId="3" borderId="3" xfId="0" applyFill="1" applyBorder="1"/>
    <xf numFmtId="0" fontId="0" fillId="5" borderId="27" xfId="0" applyFill="1" applyBorder="1"/>
    <xf numFmtId="0" fontId="0" fillId="5" borderId="12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14" fillId="3" borderId="10" xfId="1" applyFill="1" applyBorder="1"/>
    <xf numFmtId="0" fontId="0" fillId="3" borderId="31" xfId="0" applyFill="1" applyBorder="1" applyAlignment="1">
      <alignment horizontal="center"/>
    </xf>
    <xf numFmtId="0" fontId="0" fillId="3" borderId="32" xfId="0" applyFill="1" applyBorder="1"/>
    <xf numFmtId="0" fontId="0" fillId="3" borderId="33" xfId="0" applyFill="1" applyBorder="1" applyAlignment="1">
      <alignment horizontal="center"/>
    </xf>
    <xf numFmtId="0" fontId="0" fillId="5" borderId="32" xfId="0" applyFill="1" applyBorder="1"/>
    <xf numFmtId="0" fontId="0" fillId="5" borderId="34" xfId="0" applyFill="1" applyBorder="1" applyAlignment="1">
      <alignment horizontal="center"/>
    </xf>
    <xf numFmtId="0" fontId="15" fillId="9" borderId="35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5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10" borderId="35" xfId="0" applyFill="1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0" fontId="0" fillId="11" borderId="35" xfId="0" applyFill="1" applyBorder="1" applyAlignment="1">
      <alignment vertical="top" wrapText="1"/>
    </xf>
    <xf numFmtId="0" fontId="0" fillId="12" borderId="35" xfId="0" applyFill="1" applyBorder="1" applyAlignment="1">
      <alignment vertical="top" wrapText="1"/>
    </xf>
    <xf numFmtId="0" fontId="1" fillId="12" borderId="35" xfId="0" applyFont="1" applyFill="1" applyBorder="1" applyAlignment="1">
      <alignment vertical="top" wrapText="1"/>
    </xf>
    <xf numFmtId="0" fontId="0" fillId="12" borderId="35" xfId="0" applyFill="1" applyBorder="1" applyAlignment="1">
      <alignment horizontal="center" vertical="top" wrapText="1"/>
    </xf>
    <xf numFmtId="0" fontId="0" fillId="13" borderId="35" xfId="0" applyFill="1" applyBorder="1" applyAlignment="1">
      <alignment vertical="top" wrapText="1"/>
    </xf>
    <xf numFmtId="0" fontId="0" fillId="14" borderId="35" xfId="0" applyFill="1" applyBorder="1" applyAlignment="1">
      <alignment vertical="top" wrapText="1"/>
    </xf>
    <xf numFmtId="0" fontId="0" fillId="15" borderId="35" xfId="0" applyFill="1" applyBorder="1" applyAlignment="1">
      <alignment vertical="top" wrapText="1"/>
    </xf>
    <xf numFmtId="0" fontId="0" fillId="16" borderId="35" xfId="0" applyFill="1" applyBorder="1" applyAlignment="1">
      <alignment vertical="top" wrapText="1"/>
    </xf>
    <xf numFmtId="0" fontId="0" fillId="17" borderId="35" xfId="0" applyFill="1" applyBorder="1" applyAlignment="1">
      <alignment vertical="top" wrapText="1"/>
    </xf>
    <xf numFmtId="0" fontId="0" fillId="0" borderId="35" xfId="0" applyFill="1" applyBorder="1" applyAlignment="1">
      <alignment vertical="top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nership" displayName="Partnership" ref="A1:L24">
  <tableColumns count="12">
    <tableColumn id="1" xr3:uid="{00000000-0010-0000-0000-000001000000}" name="Organization"/>
    <tableColumn id="2" xr3:uid="{00000000-0010-0000-0000-000002000000}" name="Why They Care"/>
    <tableColumn id="3" xr3:uid="{00000000-0010-0000-0000-000003000000}" name="Our Interest"/>
    <tableColumn id="4" xr3:uid="{00000000-0010-0000-0000-000004000000}" name="Main Message"/>
    <tableColumn id="5" xr3:uid="{00000000-0010-0000-0000-000005000000}" name="Partnership Type"/>
    <tableColumn id="6" xr3:uid="{00000000-0010-0000-0000-000006000000}" name="Access Conditions"/>
    <tableColumn id="7" xr3:uid="{00000000-0010-0000-0000-000007000000}" name="Support They Can Offer"/>
    <tableColumn id="8" xr3:uid="{00000000-0010-0000-0000-000008000000}" name="What We Offer"/>
    <tableColumn id="9" xr3:uid="{00000000-0010-0000-0000-000009000000}" name="Contact Person"/>
    <tableColumn id="10" xr3:uid="{00000000-0010-0000-0000-00000A000000}" name="Need to Confirm"/>
    <tableColumn id="11" xr3:uid="{00000000-0010-0000-0000-00000B000000}" name="Priority"/>
    <tableColumn id="12" xr3:uid="{00000000-0010-0000-0000-00000C000000}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6854"/>
  </sheetPr>
  <dimension ref="A1:I22"/>
  <sheetViews>
    <sheetView workbookViewId="0"/>
  </sheetViews>
  <sheetFormatPr baseColWidth="10" defaultColWidth="8.83203125" defaultRowHeight="16"/>
  <cols>
    <col min="1" max="1" width="41.6640625" customWidth="1"/>
    <col min="2" max="2" width="13.33203125" customWidth="1"/>
    <col min="3" max="3" width="16.6640625" customWidth="1"/>
    <col min="4" max="4" width="15" customWidth="1"/>
    <col min="5" max="5" width="11.6640625" customWidth="1"/>
    <col min="6" max="6" width="3.33203125" customWidth="1"/>
    <col min="7" max="7" width="30" customWidth="1"/>
    <col min="8" max="8" width="13.33203125" customWidth="1"/>
    <col min="9" max="9" width="16.6640625" customWidth="1"/>
  </cols>
  <sheetData>
    <row r="1" spans="1:9" ht="24">
      <c r="A1" s="21" t="s">
        <v>0</v>
      </c>
    </row>
    <row r="2" spans="1:9">
      <c r="A2" s="22" t="s">
        <v>1</v>
      </c>
    </row>
    <row r="4" spans="1:9">
      <c r="A4" s="57" t="s">
        <v>2</v>
      </c>
      <c r="B4" s="55" t="s">
        <v>3</v>
      </c>
      <c r="C4" s="55" t="s">
        <v>4</v>
      </c>
      <c r="D4" s="61" t="s">
        <v>5</v>
      </c>
      <c r="G4" s="75" t="s">
        <v>6</v>
      </c>
      <c r="H4" s="74" t="s">
        <v>7</v>
      </c>
      <c r="I4" s="76" t="s">
        <v>8</v>
      </c>
    </row>
    <row r="5" spans="1:9">
      <c r="A5" s="58" t="s">
        <v>9</v>
      </c>
      <c r="B5" s="53">
        <f>COUNTA('Ring 1 — LU Institutions'!A2:A100)</f>
        <v>27</v>
      </c>
      <c r="C5" s="53">
        <f>COUNTIF('Ring 1 — LU Institutions'!C2:C100,"High")</f>
        <v>12</v>
      </c>
      <c r="D5" s="62">
        <f>COUNTIFS('Ring 1 — LU Institutions'!D2:D100,"&lt;&gt;Researching",'Ring 1 — LU Institutions'!D2:D100,"&lt;&gt;",'Ring 1 — LU Institutions'!D2:D100,"&lt;&gt;Not Started")</f>
        <v>0</v>
      </c>
      <c r="G5" s="67" t="s">
        <v>10</v>
      </c>
      <c r="H5" s="53">
        <f>COUNTIF('Ring 2 — Communities'!B:B,"PT")</f>
        <v>1</v>
      </c>
      <c r="I5" s="62" t="str">
        <f>IFERROR(INDEX('Ring 2 — Communities'!E:E,MATCH("PT",'Ring 2 — Communities'!B:B,0)),"-")</f>
        <v>Researching</v>
      </c>
    </row>
    <row r="6" spans="1:9">
      <c r="A6" s="59" t="s">
        <v>11</v>
      </c>
      <c r="B6" s="54">
        <f>COUNTA('Ring 2 — Communities'!A2:A99)</f>
        <v>12</v>
      </c>
      <c r="C6" s="54">
        <f>COUNTIF('Ring 2 — Communities'!D2:D99,"High")</f>
        <v>8</v>
      </c>
      <c r="D6" s="63">
        <f>COUNTIFS('Ring 2 — Communities'!E2:E99,"&lt;&gt;Researching",'Ring 2 — Communities'!E2:E99,"&lt;&gt;",'Ring 2 — Communities'!E2:E99,"&lt;&gt;Not Started")</f>
        <v>0</v>
      </c>
      <c r="G6" s="68" t="s">
        <v>12</v>
      </c>
      <c r="H6" s="54">
        <f>COUNTIF('Ring 2 — Communities'!B:B,"FR")</f>
        <v>1</v>
      </c>
      <c r="I6" s="63" t="str">
        <f>IFERROR(INDEX('Ring 2 — Communities'!E:E,MATCH("FR",'Ring 2 — Communities'!B:B,0)),"-")</f>
        <v>Researching</v>
      </c>
    </row>
    <row r="7" spans="1:9">
      <c r="A7" s="58" t="s">
        <v>13</v>
      </c>
      <c r="B7" s="53">
        <f>COUNTA('Ring 3 — Abroad (Stage 2)'!A2:A100)</f>
        <v>0</v>
      </c>
      <c r="C7" s="53">
        <f>COUNTIF('Ring 3 — Abroad (Stage 2)'!D2:D100,"High")</f>
        <v>0</v>
      </c>
      <c r="D7" s="62">
        <f>COUNTIFS('Ring 3 — Abroad (Stage 2)'!E2:E100,"&lt;&gt;Researching",'Ring 3 — Abroad (Stage 2)'!E2:E100,"&lt;&gt;",'Ring 3 — Abroad (Stage 2)'!E2:E100,"&lt;&gt;Not Started")</f>
        <v>0</v>
      </c>
      <c r="G7" s="67" t="s">
        <v>14</v>
      </c>
      <c r="H7" s="53">
        <f>COUNTIF('Ring 2 — Communities'!B:B,"IT")</f>
        <v>1</v>
      </c>
      <c r="I7" s="62" t="str">
        <f>IFERROR(INDEX('Ring 2 — Communities'!E:E,MATCH("IT",'Ring 2 — Communities'!B:B,0)),"-")</f>
        <v>Researching</v>
      </c>
    </row>
    <row r="8" spans="1:9">
      <c r="A8" s="60" t="s">
        <v>15</v>
      </c>
      <c r="B8" s="56">
        <f>SUM(B5:B7)</f>
        <v>39</v>
      </c>
      <c r="C8" s="56">
        <f>SUM(C5:C7)</f>
        <v>20</v>
      </c>
      <c r="D8" s="64">
        <f>SUM(D5:D7)</f>
        <v>0</v>
      </c>
      <c r="G8" s="68" t="s">
        <v>16</v>
      </c>
      <c r="H8" s="54">
        <f>COUNTIF('Ring 2 — Communities'!B:B,"BE")</f>
        <v>1</v>
      </c>
      <c r="I8" s="63" t="str">
        <f>IFERROR(INDEX('Ring 2 — Communities'!E:E,MATCH("BE",'Ring 2 — Communities'!B:B,0)),"-")</f>
        <v>Researching</v>
      </c>
    </row>
    <row r="9" spans="1:9">
      <c r="G9" s="67" t="s">
        <v>17</v>
      </c>
      <c r="H9" s="53">
        <f>COUNTIF('Ring 2 — Communities'!B:B,"DE")</f>
        <v>1</v>
      </c>
      <c r="I9" s="62" t="str">
        <f>IFERROR(INDEX('Ring 2 — Communities'!E:E,MATCH("DE",'Ring 2 — Communities'!B:B,0)),"—")</f>
        <v>Researching</v>
      </c>
    </row>
    <row r="10" spans="1:9">
      <c r="A10" s="57" t="s">
        <v>18</v>
      </c>
      <c r="B10" s="55" t="s">
        <v>19</v>
      </c>
      <c r="C10" s="55" t="s">
        <v>20</v>
      </c>
      <c r="D10" s="55" t="s">
        <v>21</v>
      </c>
      <c r="E10" s="61" t="s">
        <v>15</v>
      </c>
      <c r="G10" s="68" t="s">
        <v>22</v>
      </c>
      <c r="H10" s="54">
        <f>COUNTIF('Ring 2 — Communities'!B:B,"ES")</f>
        <v>1</v>
      </c>
      <c r="I10" s="63" t="str">
        <f>IFERROR(INDEX('Ring 2 — Communities'!E:E,MATCH("ES",'Ring 2 — Communities'!B:B,0)),"-")</f>
        <v>Researching</v>
      </c>
    </row>
    <row r="11" spans="1:9">
      <c r="A11" s="67" t="s">
        <v>23</v>
      </c>
      <c r="B11" s="53">
        <f>COUNTIF('Ring 1 — LU Institutions'!D:D,"Researching")</f>
        <v>27</v>
      </c>
      <c r="C11" s="53">
        <f>COUNTIF('Ring 2 — Communities'!E:E,"Researching")</f>
        <v>12</v>
      </c>
      <c r="D11" s="53">
        <f>COUNTIF('Ring 3 — Abroad (Stage 2)'!E:E,"Researching")</f>
        <v>0</v>
      </c>
      <c r="E11" s="70">
        <f>SUM(B11:D11)</f>
        <v>39</v>
      </c>
      <c r="G11" s="67" t="s">
        <v>24</v>
      </c>
      <c r="H11" s="53">
        <f>COUNTIF('Ring 2 — Communities'!B:B,"CH")</f>
        <v>1</v>
      </c>
      <c r="I11" s="62" t="str">
        <f>IFERROR(INDEX('Ring 2 — Communities'!E:E,MATCH("CH",'Ring 2 — Communities'!B:B,0)),"-")</f>
        <v>Researching</v>
      </c>
    </row>
    <row r="12" spans="1:9">
      <c r="A12" s="68" t="s">
        <v>25</v>
      </c>
      <c r="B12" s="54">
        <f>COUNTIF('Ring 1 — LU Institutions'!D:D,"Contacted")</f>
        <v>0</v>
      </c>
      <c r="C12" s="54">
        <f>COUNTIF('Ring 2 — Communities'!E:E,"Contacted")</f>
        <v>0</v>
      </c>
      <c r="D12" s="54">
        <f>COUNTIF('Ring 3 — Abroad (Stage 2)'!E:E,"Contacted")</f>
        <v>0</v>
      </c>
      <c r="E12" s="71">
        <f>SUM(B12:D12)</f>
        <v>0</v>
      </c>
      <c r="G12" s="102" t="s">
        <v>26</v>
      </c>
      <c r="H12" s="65">
        <f>COUNTIF('Ring 2 — Communities'!B:B,"PL")</f>
        <v>1</v>
      </c>
      <c r="I12" s="103" t="str">
        <f>IFERROR(INDEX('Ring 2 — Communities'!E:E,MATCH("PL",'Ring 2 — Communities'!B:B,0)),"-")</f>
        <v>Researching</v>
      </c>
    </row>
    <row r="13" spans="1:9">
      <c r="A13" s="67" t="s">
        <v>27</v>
      </c>
      <c r="B13" s="53">
        <f>COUNTIF('Ring 1 — LU Institutions'!D:D,"In Discussion")</f>
        <v>0</v>
      </c>
      <c r="C13" s="53">
        <f>COUNTIF('Ring 2 — Communities'!E:E,"In Discussion")</f>
        <v>0</v>
      </c>
      <c r="D13" s="53">
        <f>COUNTIF('Ring 3 — Abroad (Stage 2)'!E:E,"In Discussion")</f>
        <v>0</v>
      </c>
      <c r="E13" s="70">
        <f>SUM(B13:D13)</f>
        <v>0</v>
      </c>
      <c r="G13" s="104" t="s">
        <v>28</v>
      </c>
      <c r="H13" s="73">
        <f>COUNTIFS('Ring 2 — Communities'!B:B,"*EN-speaking*")</f>
        <v>2</v>
      </c>
      <c r="I13" s="109" t="str">
        <f>IFERROR(INDEX('Ring 2 — Communities'!E:E,MATCH("US / EN-speaking",'Ring 2 — Communities'!B:B,0)),"—")</f>
        <v>Researching</v>
      </c>
    </row>
    <row r="14" spans="1:9">
      <c r="A14" s="68" t="s">
        <v>29</v>
      </c>
      <c r="B14" s="54">
        <f>COUNTIF('Ring 1 — LU Institutions'!D:D,"Active Partner")</f>
        <v>0</v>
      </c>
      <c r="C14" s="54">
        <f>COUNTIF('Ring 2 — Communities'!E:E,"Active Partner")</f>
        <v>0</v>
      </c>
      <c r="D14" s="54">
        <f>COUNTIF('Ring 3 — Abroad (Stage 2)'!E:E,"Active Partner")</f>
        <v>0</v>
      </c>
      <c r="E14" s="71">
        <f>SUM(B14:D14)</f>
        <v>0</v>
      </c>
      <c r="G14" s="117" t="s">
        <v>30</v>
      </c>
      <c r="H14" s="77">
        <f>COUNTIF('Ring 2 — Communities'!B:B,"RO")</f>
        <v>1</v>
      </c>
      <c r="I14" s="118" t="str">
        <f>IFERROR(INDEX('Ring 2 — Communities'!E:E,MATCH("RO",'Ring 2 — Communities'!B:B,0)),"—")</f>
        <v>Researching</v>
      </c>
    </row>
    <row r="15" spans="1:9">
      <c r="A15" s="68"/>
      <c r="B15" s="54"/>
      <c r="C15" s="54"/>
      <c r="D15" s="54"/>
      <c r="E15" s="71"/>
      <c r="G15" s="119" t="s">
        <v>31</v>
      </c>
      <c r="H15" s="113">
        <f>COUNTIF('Ring 2 — Communities'!B:B,"IN")</f>
        <v>0</v>
      </c>
      <c r="I15" s="120" t="str">
        <f>IFERROR(INDEX('Ring 2 — Communities'!E:E,MATCH("IN",'Ring 2 — Communities'!B:B,0)),"—")</f>
        <v>—</v>
      </c>
    </row>
    <row r="16" spans="1:9">
      <c r="A16" s="68"/>
      <c r="B16" s="54"/>
      <c r="C16" s="54"/>
      <c r="D16" s="54"/>
      <c r="E16" s="71"/>
      <c r="G16" s="106" t="s">
        <v>32</v>
      </c>
      <c r="H16" s="108">
        <f>COUNTIF('Ring 2 — Communities'!B:B,"Nordic")</f>
        <v>1</v>
      </c>
      <c r="I16" s="116" t="str">
        <f>IFERROR(INDEX('Ring 2 — Communities'!E:E,MATCH("Nordic",'Ring 2 — Communities'!B:B,0)),"—")</f>
        <v>Researching</v>
      </c>
    </row>
    <row r="17" spans="1:8">
      <c r="A17" s="67" t="s">
        <v>33</v>
      </c>
      <c r="B17" s="53">
        <f>COUNTIF('Ring 1 — LU Institutions'!D:D,"On Hold")</f>
        <v>0</v>
      </c>
      <c r="C17" s="53">
        <f>COUNTIF('Ring 2 — Communities'!E:E,"On Hold")</f>
        <v>0</v>
      </c>
      <c r="D17" s="53">
        <f>COUNTIF('Ring 3 — Abroad (Stage 2)'!E:E,"On Hold")</f>
        <v>0</v>
      </c>
      <c r="E17" s="70">
        <f>SUM(B17:D17)</f>
        <v>0</v>
      </c>
      <c r="G17" s="105" t="s">
        <v>34</v>
      </c>
      <c r="H17" s="107" t="s">
        <v>35</v>
      </c>
    </row>
    <row r="18" spans="1:8">
      <c r="A18" s="69" t="s">
        <v>36</v>
      </c>
      <c r="B18" s="66">
        <f>COUNTIF('Ring 1 — LU Institutions'!D:D,"Not a Fit")</f>
        <v>0</v>
      </c>
      <c r="C18" s="66">
        <f>COUNTIF('Ring 2 — Communities'!E:E,"Not a Fit")</f>
        <v>0</v>
      </c>
      <c r="D18" s="66">
        <f>COUNTIF('Ring 3 — Abroad (Stage 2)'!E:E,"Not a Fit")</f>
        <v>0</v>
      </c>
      <c r="E18" s="72">
        <f>SUM(B18:D18)</f>
        <v>0</v>
      </c>
      <c r="G18" s="67" t="s">
        <v>37</v>
      </c>
      <c r="H18" s="62">
        <f>COUNTIF('Ring 1 — LU Institutions'!B:B,"Hub / Public Body")</f>
        <v>10</v>
      </c>
    </row>
    <row r="19" spans="1:8">
      <c r="G19" s="68" t="s">
        <v>38</v>
      </c>
      <c r="H19" s="63">
        <f>COUNTIF('Ring 1 — LU Institutions'!B:B,"Federation")</f>
        <v>14</v>
      </c>
    </row>
    <row r="20" spans="1:8">
      <c r="G20" s="110" t="s">
        <v>39</v>
      </c>
      <c r="H20" s="109">
        <f>COUNTIF('Ring 1 — LU Institutions'!B:B,"Chamber")</f>
        <v>1</v>
      </c>
    </row>
    <row r="21" spans="1:8">
      <c r="G21" s="111" t="s">
        <v>40</v>
      </c>
      <c r="H21" s="103">
        <f>COUNTIF('Ring 1 — LU Institutions'!B:B,"Media")</f>
        <v>1</v>
      </c>
    </row>
    <row r="22" spans="1:8">
      <c r="G22" s="112" t="s">
        <v>41</v>
      </c>
      <c r="H22" s="114">
        <f>COUNTIF('Ring 1 — LU Institutions'!B:B,"HR Network")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workbookViewId="0"/>
  </sheetViews>
  <sheetFormatPr baseColWidth="10" defaultColWidth="11.1640625" defaultRowHeight="16"/>
  <cols>
    <col min="1" max="5" width="36.33203125" customWidth="1"/>
    <col min="6" max="6" width="33.33203125" customWidth="1"/>
    <col min="7" max="12" width="36.33203125" customWidth="1"/>
    <col min="13" max="20" width="10.6640625" customWidth="1"/>
  </cols>
  <sheetData>
    <row r="1" spans="1:12" ht="28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8</v>
      </c>
    </row>
    <row r="2" spans="1:12" ht="28" customHeight="1">
      <c r="A2" s="2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4" t="s">
        <v>61</v>
      </c>
      <c r="J2" s="3" t="s">
        <v>62</v>
      </c>
      <c r="K2" s="3" t="s">
        <v>63</v>
      </c>
      <c r="L2" s="17" t="s">
        <v>23</v>
      </c>
    </row>
    <row r="3" spans="1:12" ht="28" customHeight="1">
      <c r="A3" s="5" t="s">
        <v>64</v>
      </c>
      <c r="B3" s="3" t="s">
        <v>65</v>
      </c>
      <c r="C3" s="3" t="s">
        <v>66</v>
      </c>
      <c r="D3" s="3" t="s">
        <v>56</v>
      </c>
      <c r="E3" s="3" t="s">
        <v>67</v>
      </c>
      <c r="F3" s="3" t="s">
        <v>68</v>
      </c>
      <c r="G3" s="3" t="s">
        <v>69</v>
      </c>
      <c r="H3" s="3" t="s">
        <v>70</v>
      </c>
      <c r="I3" s="4" t="s">
        <v>71</v>
      </c>
      <c r="J3" s="3" t="s">
        <v>72</v>
      </c>
      <c r="K3" s="3" t="s">
        <v>63</v>
      </c>
      <c r="L3" s="17" t="s">
        <v>23</v>
      </c>
    </row>
    <row r="4" spans="1:12" ht="28" customHeight="1">
      <c r="A4" s="2" t="s">
        <v>73</v>
      </c>
      <c r="B4" s="3" t="s">
        <v>54</v>
      </c>
      <c r="C4" s="3" t="s">
        <v>74</v>
      </c>
      <c r="D4" s="3" t="s">
        <v>75</v>
      </c>
      <c r="E4" s="3" t="s">
        <v>57</v>
      </c>
      <c r="F4" s="3" t="s">
        <v>76</v>
      </c>
      <c r="G4" s="3" t="s">
        <v>77</v>
      </c>
      <c r="H4" s="3" t="s">
        <v>60</v>
      </c>
      <c r="I4" s="4" t="s">
        <v>78</v>
      </c>
      <c r="J4" s="3" t="s">
        <v>79</v>
      </c>
      <c r="K4" s="3" t="s">
        <v>63</v>
      </c>
      <c r="L4" s="17" t="s">
        <v>23</v>
      </c>
    </row>
    <row r="5" spans="1:12" ht="28" customHeight="1">
      <c r="A5" s="2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6"/>
      <c r="J5" s="3" t="s">
        <v>88</v>
      </c>
      <c r="K5" s="3" t="s">
        <v>63</v>
      </c>
      <c r="L5" s="17" t="s">
        <v>23</v>
      </c>
    </row>
    <row r="6" spans="1:12" ht="28" customHeight="1">
      <c r="A6" s="2" t="s">
        <v>89</v>
      </c>
      <c r="B6" s="3" t="s">
        <v>90</v>
      </c>
      <c r="C6" s="3" t="s">
        <v>91</v>
      </c>
      <c r="D6" s="3" t="s">
        <v>83</v>
      </c>
      <c r="E6" s="3" t="s">
        <v>92</v>
      </c>
      <c r="F6" s="3" t="s">
        <v>93</v>
      </c>
      <c r="G6" s="3" t="s">
        <v>94</v>
      </c>
      <c r="H6" s="3" t="s">
        <v>95</v>
      </c>
      <c r="I6" s="6" t="s">
        <v>96</v>
      </c>
      <c r="J6" s="3" t="s">
        <v>97</v>
      </c>
      <c r="K6" s="3" t="s">
        <v>98</v>
      </c>
      <c r="L6" s="17" t="s">
        <v>23</v>
      </c>
    </row>
    <row r="7" spans="1:12" ht="28" customHeight="1">
      <c r="A7" s="2" t="s">
        <v>99</v>
      </c>
      <c r="B7" s="3" t="s">
        <v>100</v>
      </c>
      <c r="C7" s="3" t="s">
        <v>101</v>
      </c>
      <c r="D7" s="3" t="s">
        <v>102</v>
      </c>
      <c r="E7" s="3" t="s">
        <v>103</v>
      </c>
      <c r="F7" s="3" t="s">
        <v>104</v>
      </c>
      <c r="G7" s="3" t="s">
        <v>105</v>
      </c>
      <c r="H7" s="3" t="s">
        <v>106</v>
      </c>
      <c r="I7" s="6" t="s">
        <v>107</v>
      </c>
      <c r="J7" s="3" t="s">
        <v>108</v>
      </c>
      <c r="K7" s="3" t="s">
        <v>63</v>
      </c>
      <c r="L7" s="17" t="s">
        <v>23</v>
      </c>
    </row>
    <row r="8" spans="1:12" ht="28" customHeight="1">
      <c r="A8" s="2" t="s">
        <v>109</v>
      </c>
      <c r="B8" s="3" t="s">
        <v>110</v>
      </c>
      <c r="C8" s="3" t="s">
        <v>101</v>
      </c>
      <c r="D8" s="3" t="s">
        <v>102</v>
      </c>
      <c r="E8" s="3" t="s">
        <v>111</v>
      </c>
      <c r="F8" s="3" t="s">
        <v>104</v>
      </c>
      <c r="G8" s="3" t="s">
        <v>112</v>
      </c>
      <c r="H8" s="3" t="s">
        <v>106</v>
      </c>
      <c r="I8" s="6" t="s">
        <v>113</v>
      </c>
      <c r="J8" s="3" t="s">
        <v>108</v>
      </c>
      <c r="K8" s="3" t="s">
        <v>63</v>
      </c>
      <c r="L8" s="17" t="s">
        <v>23</v>
      </c>
    </row>
    <row r="9" spans="1:12" ht="28" customHeight="1">
      <c r="A9" s="5" t="s">
        <v>114</v>
      </c>
      <c r="B9" s="3" t="s">
        <v>115</v>
      </c>
      <c r="C9" s="3" t="s">
        <v>116</v>
      </c>
      <c r="D9" s="3" t="s">
        <v>117</v>
      </c>
      <c r="E9" s="3" t="s">
        <v>111</v>
      </c>
      <c r="F9" s="3" t="s">
        <v>104</v>
      </c>
      <c r="G9" s="3" t="s">
        <v>118</v>
      </c>
      <c r="H9" s="3" t="s">
        <v>119</v>
      </c>
      <c r="I9" s="4" t="s">
        <v>120</v>
      </c>
      <c r="J9" s="3" t="s">
        <v>108</v>
      </c>
      <c r="K9" s="3" t="s">
        <v>63</v>
      </c>
      <c r="L9" s="17" t="s">
        <v>23</v>
      </c>
    </row>
    <row r="10" spans="1:12" ht="28" customHeight="1">
      <c r="A10" s="5" t="s">
        <v>121</v>
      </c>
      <c r="B10" s="3" t="s">
        <v>122</v>
      </c>
      <c r="C10" s="3" t="s">
        <v>123</v>
      </c>
      <c r="D10" s="3" t="s">
        <v>124</v>
      </c>
      <c r="E10" s="3" t="s">
        <v>111</v>
      </c>
      <c r="F10" s="3" t="s">
        <v>104</v>
      </c>
      <c r="G10" s="3" t="s">
        <v>118</v>
      </c>
      <c r="H10" s="3" t="s">
        <v>125</v>
      </c>
      <c r="I10" s="6" t="s">
        <v>126</v>
      </c>
      <c r="J10" s="3" t="s">
        <v>108</v>
      </c>
      <c r="K10" s="3" t="s">
        <v>98</v>
      </c>
      <c r="L10" s="17" t="s">
        <v>23</v>
      </c>
    </row>
    <row r="11" spans="1:12" ht="28" customHeight="1">
      <c r="A11" s="5" t="s">
        <v>127</v>
      </c>
      <c r="B11" s="3" t="s">
        <v>128</v>
      </c>
      <c r="C11" s="3" t="s">
        <v>129</v>
      </c>
      <c r="D11" s="3" t="s">
        <v>130</v>
      </c>
      <c r="E11" s="3" t="s">
        <v>111</v>
      </c>
      <c r="F11" s="3" t="s">
        <v>131</v>
      </c>
      <c r="G11" s="3" t="s">
        <v>118</v>
      </c>
      <c r="H11" s="3" t="s">
        <v>132</v>
      </c>
      <c r="I11" s="4" t="s">
        <v>133</v>
      </c>
      <c r="J11" s="3" t="s">
        <v>108</v>
      </c>
      <c r="K11" s="3" t="s">
        <v>98</v>
      </c>
      <c r="L11" s="17" t="s">
        <v>23</v>
      </c>
    </row>
    <row r="12" spans="1:12" ht="28" customHeight="1">
      <c r="A12" s="7" t="s">
        <v>134</v>
      </c>
      <c r="B12" s="8" t="s">
        <v>135</v>
      </c>
      <c r="C12" s="6" t="s">
        <v>136</v>
      </c>
      <c r="D12" s="7" t="s">
        <v>137</v>
      </c>
      <c r="E12" s="7" t="s">
        <v>111</v>
      </c>
      <c r="F12" s="7" t="s">
        <v>138</v>
      </c>
      <c r="G12" s="7" t="s">
        <v>139</v>
      </c>
      <c r="H12" s="7" t="s">
        <v>140</v>
      </c>
      <c r="I12" s="8" t="s">
        <v>141</v>
      </c>
      <c r="J12" s="3" t="s">
        <v>108</v>
      </c>
      <c r="K12" s="7" t="s">
        <v>63</v>
      </c>
      <c r="L12" s="18" t="s">
        <v>23</v>
      </c>
    </row>
    <row r="13" spans="1:12" ht="28" customHeight="1">
      <c r="A13" s="6" t="s">
        <v>142</v>
      </c>
      <c r="B13" s="3" t="s">
        <v>143</v>
      </c>
      <c r="C13" s="3" t="s">
        <v>144</v>
      </c>
      <c r="D13" s="3" t="s">
        <v>145</v>
      </c>
      <c r="E13" s="3" t="s">
        <v>111</v>
      </c>
      <c r="F13" s="3" t="s">
        <v>146</v>
      </c>
      <c r="G13" s="3" t="s">
        <v>118</v>
      </c>
      <c r="H13" s="3" t="s">
        <v>147</v>
      </c>
      <c r="I13" s="9" t="s">
        <v>148</v>
      </c>
      <c r="J13" s="3" t="s">
        <v>108</v>
      </c>
      <c r="K13" s="3" t="s">
        <v>63</v>
      </c>
      <c r="L13" s="17" t="s">
        <v>23</v>
      </c>
    </row>
    <row r="14" spans="1:12" ht="28" customHeight="1">
      <c r="A14" s="3" t="s">
        <v>149</v>
      </c>
      <c r="B14" s="3" t="s">
        <v>150</v>
      </c>
      <c r="C14" s="3" t="s">
        <v>151</v>
      </c>
      <c r="D14" s="10" t="s">
        <v>152</v>
      </c>
      <c r="E14" s="3" t="s">
        <v>111</v>
      </c>
      <c r="F14" s="3" t="s">
        <v>153</v>
      </c>
      <c r="G14" s="3" t="s">
        <v>118</v>
      </c>
      <c r="H14" s="3" t="s">
        <v>154</v>
      </c>
      <c r="I14" s="5"/>
      <c r="J14" s="3" t="s">
        <v>108</v>
      </c>
      <c r="K14" s="3" t="s">
        <v>155</v>
      </c>
      <c r="L14" s="17" t="s">
        <v>23</v>
      </c>
    </row>
    <row r="15" spans="1:12" ht="28" customHeight="1">
      <c r="A15" s="3" t="s">
        <v>156</v>
      </c>
      <c r="B15" s="3" t="s">
        <v>143</v>
      </c>
      <c r="C15" s="3" t="s">
        <v>157</v>
      </c>
      <c r="D15" s="3" t="s">
        <v>158</v>
      </c>
      <c r="E15" s="3" t="s">
        <v>111</v>
      </c>
      <c r="F15" s="3" t="s">
        <v>159</v>
      </c>
      <c r="G15" s="3" t="s">
        <v>118</v>
      </c>
      <c r="H15" s="3" t="s">
        <v>160</v>
      </c>
      <c r="I15" s="5" t="s">
        <v>161</v>
      </c>
      <c r="J15" s="3" t="s">
        <v>108</v>
      </c>
      <c r="K15" s="3" t="s">
        <v>63</v>
      </c>
      <c r="L15" s="17" t="s">
        <v>23</v>
      </c>
    </row>
    <row r="16" spans="1:12" ht="28" customHeight="1">
      <c r="A16" s="2" t="s">
        <v>162</v>
      </c>
      <c r="B16" s="3" t="s">
        <v>163</v>
      </c>
      <c r="C16" s="3" t="s">
        <v>164</v>
      </c>
      <c r="D16" s="3" t="s">
        <v>165</v>
      </c>
      <c r="E16" s="3" t="s">
        <v>166</v>
      </c>
      <c r="F16" s="3" t="s">
        <v>167</v>
      </c>
      <c r="G16" s="3" t="s">
        <v>168</v>
      </c>
      <c r="H16" s="3" t="s">
        <v>169</v>
      </c>
      <c r="I16" s="4" t="s">
        <v>170</v>
      </c>
      <c r="J16" s="3" t="s">
        <v>171</v>
      </c>
      <c r="K16" s="3" t="s">
        <v>172</v>
      </c>
      <c r="L16" s="17" t="s">
        <v>23</v>
      </c>
    </row>
    <row r="17" spans="1:12" ht="28" customHeight="1">
      <c r="A17" s="7" t="s">
        <v>173</v>
      </c>
      <c r="B17" s="8" t="s">
        <v>174</v>
      </c>
      <c r="C17" s="7" t="s">
        <v>175</v>
      </c>
      <c r="D17" s="7" t="s">
        <v>176</v>
      </c>
      <c r="E17" s="7" t="s">
        <v>177</v>
      </c>
      <c r="F17" s="7" t="s">
        <v>178</v>
      </c>
      <c r="G17" s="7" t="s">
        <v>179</v>
      </c>
      <c r="H17" s="7" t="s">
        <v>180</v>
      </c>
      <c r="I17" s="7" t="s">
        <v>181</v>
      </c>
      <c r="J17" s="7" t="s">
        <v>182</v>
      </c>
      <c r="K17" s="7" t="s">
        <v>63</v>
      </c>
      <c r="L17" s="18" t="s">
        <v>23</v>
      </c>
    </row>
    <row r="18" spans="1:12" ht="28" customHeight="1">
      <c r="A18" s="7" t="s">
        <v>183</v>
      </c>
      <c r="B18" s="7" t="s">
        <v>184</v>
      </c>
      <c r="C18" s="7" t="s">
        <v>185</v>
      </c>
      <c r="D18" s="7" t="s">
        <v>176</v>
      </c>
      <c r="E18" s="7" t="s">
        <v>186</v>
      </c>
      <c r="F18" s="7" t="s">
        <v>187</v>
      </c>
      <c r="G18" s="7" t="s">
        <v>188</v>
      </c>
      <c r="H18" s="7" t="s">
        <v>189</v>
      </c>
      <c r="I18" s="7"/>
      <c r="J18" s="7" t="s">
        <v>190</v>
      </c>
      <c r="K18" s="7" t="s">
        <v>98</v>
      </c>
      <c r="L18" s="18" t="s">
        <v>23</v>
      </c>
    </row>
    <row r="19" spans="1:12" ht="28" customHeight="1">
      <c r="A19" s="7" t="s">
        <v>191</v>
      </c>
      <c r="B19" s="7" t="s">
        <v>192</v>
      </c>
      <c r="C19" s="7" t="s">
        <v>193</v>
      </c>
      <c r="D19" s="7" t="s">
        <v>176</v>
      </c>
      <c r="E19" s="7" t="s">
        <v>194</v>
      </c>
      <c r="F19" s="7" t="s">
        <v>195</v>
      </c>
      <c r="G19" s="7" t="s">
        <v>196</v>
      </c>
      <c r="H19" s="7" t="s">
        <v>197</v>
      </c>
      <c r="I19" s="7" t="s">
        <v>198</v>
      </c>
      <c r="J19" s="7" t="s">
        <v>199</v>
      </c>
      <c r="K19" s="7" t="s">
        <v>98</v>
      </c>
      <c r="L19" s="18" t="s">
        <v>23</v>
      </c>
    </row>
    <row r="20" spans="1:12" ht="28" customHeight="1">
      <c r="A20" s="7" t="s">
        <v>200</v>
      </c>
      <c r="B20" s="7" t="s">
        <v>201</v>
      </c>
      <c r="C20" s="7" t="s">
        <v>202</v>
      </c>
      <c r="D20" s="7" t="s">
        <v>176</v>
      </c>
      <c r="E20" s="7" t="s">
        <v>203</v>
      </c>
      <c r="F20" s="7" t="s">
        <v>204</v>
      </c>
      <c r="G20" s="7" t="s">
        <v>205</v>
      </c>
      <c r="H20" s="7" t="s">
        <v>206</v>
      </c>
      <c r="I20" s="7"/>
      <c r="J20" s="7" t="s">
        <v>207</v>
      </c>
      <c r="K20" s="7" t="s">
        <v>98</v>
      </c>
      <c r="L20" s="18" t="s">
        <v>23</v>
      </c>
    </row>
    <row r="21" spans="1:12" ht="28" customHeight="1">
      <c r="A21" s="7" t="s">
        <v>208</v>
      </c>
      <c r="B21" s="7" t="s">
        <v>209</v>
      </c>
      <c r="C21" s="7" t="s">
        <v>210</v>
      </c>
      <c r="D21" s="7" t="s">
        <v>176</v>
      </c>
      <c r="E21" s="7" t="s">
        <v>211</v>
      </c>
      <c r="F21" s="7" t="s">
        <v>212</v>
      </c>
      <c r="G21" s="7" t="s">
        <v>213</v>
      </c>
      <c r="H21" s="7" t="s">
        <v>214</v>
      </c>
      <c r="I21" s="7"/>
      <c r="J21" s="7" t="s">
        <v>215</v>
      </c>
      <c r="K21" s="7" t="s">
        <v>172</v>
      </c>
      <c r="L21" s="18" t="s">
        <v>23</v>
      </c>
    </row>
    <row r="22" spans="1:12" ht="28" customHeight="1">
      <c r="A22" s="11" t="s">
        <v>216</v>
      </c>
      <c r="B22" s="12" t="s">
        <v>217</v>
      </c>
      <c r="C22" s="12" t="s">
        <v>218</v>
      </c>
      <c r="D22" s="11" t="s">
        <v>219</v>
      </c>
      <c r="E22" s="11" t="s">
        <v>220</v>
      </c>
      <c r="F22" s="12" t="s">
        <v>221</v>
      </c>
      <c r="G22" s="12" t="s">
        <v>222</v>
      </c>
      <c r="H22" s="11" t="s">
        <v>223</v>
      </c>
      <c r="I22" s="12" t="s">
        <v>224</v>
      </c>
      <c r="J22" s="11" t="s">
        <v>225</v>
      </c>
      <c r="K22" s="11" t="s">
        <v>98</v>
      </c>
      <c r="L22" s="19" t="s">
        <v>23</v>
      </c>
    </row>
    <row r="23" spans="1:12" ht="28" customHeight="1">
      <c r="A23" s="11" t="s">
        <v>226</v>
      </c>
      <c r="B23" s="12" t="s">
        <v>227</v>
      </c>
      <c r="C23" s="12" t="s">
        <v>228</v>
      </c>
      <c r="D23" s="11" t="s">
        <v>219</v>
      </c>
      <c r="E23" s="11" t="s">
        <v>229</v>
      </c>
      <c r="F23" s="12" t="s">
        <v>230</v>
      </c>
      <c r="G23" s="12" t="s">
        <v>231</v>
      </c>
      <c r="H23" s="11" t="s">
        <v>232</v>
      </c>
      <c r="I23" s="12" t="s">
        <v>233</v>
      </c>
      <c r="J23" s="11" t="s">
        <v>234</v>
      </c>
      <c r="K23" s="11" t="s">
        <v>172</v>
      </c>
      <c r="L23" s="19" t="s">
        <v>23</v>
      </c>
    </row>
    <row r="24" spans="1:12" ht="28" customHeight="1">
      <c r="A24" s="13" t="s">
        <v>235</v>
      </c>
      <c r="B24" s="12"/>
      <c r="C24" s="12"/>
      <c r="D24" s="11"/>
      <c r="E24" s="11"/>
      <c r="F24" s="12"/>
      <c r="G24" s="12"/>
      <c r="H24" s="11"/>
      <c r="I24" s="12"/>
      <c r="J24" s="11"/>
      <c r="K24" s="11"/>
      <c r="L24" s="19"/>
    </row>
    <row r="25" spans="1:12" ht="28" customHeight="1">
      <c r="A25" s="14" t="s">
        <v>236</v>
      </c>
      <c r="B25" s="14" t="s">
        <v>237</v>
      </c>
      <c r="C25" s="14" t="s">
        <v>238</v>
      </c>
      <c r="D25" s="15" t="s">
        <v>83</v>
      </c>
      <c r="E25" s="14" t="s">
        <v>239</v>
      </c>
      <c r="F25" s="14" t="s">
        <v>240</v>
      </c>
      <c r="G25" s="14" t="s">
        <v>241</v>
      </c>
      <c r="H25" s="14" t="s">
        <v>242</v>
      </c>
      <c r="I25" s="16" t="s">
        <v>243</v>
      </c>
      <c r="J25" s="14" t="s">
        <v>244</v>
      </c>
      <c r="K25" s="14" t="s">
        <v>63</v>
      </c>
      <c r="L25" s="20" t="s">
        <v>23</v>
      </c>
    </row>
    <row r="26" spans="1:12" ht="28" customHeight="1"/>
    <row r="27" spans="1:12" ht="28" customHeight="1"/>
    <row r="28" spans="1:12" ht="28" customHeight="1"/>
    <row r="29" spans="1:12" ht="28" customHeight="1"/>
    <row r="30" spans="1:12" ht="28" customHeight="1"/>
    <row r="31" spans="1:12" ht="28" customHeight="1"/>
    <row r="32" spans="1:1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28" customHeight="1"/>
    <row r="82" ht="28" customHeight="1"/>
    <row r="83" ht="28" customHeight="1"/>
    <row r="84" ht="28" customHeight="1"/>
    <row r="85" ht="28" customHeight="1"/>
    <row r="86" ht="28" customHeight="1"/>
    <row r="87" ht="28" customHeight="1"/>
    <row r="88" ht="28" customHeight="1"/>
    <row r="89" ht="28" customHeight="1"/>
    <row r="90" ht="28" customHeight="1"/>
    <row r="91" ht="28" customHeight="1"/>
    <row r="92" ht="28" customHeight="1"/>
    <row r="93" ht="28" customHeight="1"/>
    <row r="94" ht="28" customHeight="1"/>
    <row r="95" ht="28" customHeight="1"/>
    <row r="96" ht="28" customHeight="1"/>
    <row r="97" ht="28" customHeight="1"/>
    <row r="98" ht="28" customHeight="1"/>
    <row r="99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  <row r="117" ht="28" customHeight="1"/>
    <row r="118" ht="28" customHeight="1"/>
    <row r="119" ht="28" customHeight="1"/>
    <row r="120" ht="28" customHeight="1"/>
    <row r="121" ht="28" customHeight="1"/>
    <row r="122" ht="28" customHeight="1"/>
    <row r="123" ht="28" customHeight="1"/>
    <row r="124" ht="28" customHeight="1"/>
    <row r="125" ht="28" customHeight="1"/>
    <row r="126" ht="28" customHeight="1"/>
    <row r="127" ht="28" customHeight="1"/>
    <row r="128" ht="28" customHeight="1"/>
    <row r="129" ht="28" customHeight="1"/>
    <row r="130" ht="28" customHeight="1"/>
    <row r="131" ht="28" customHeight="1"/>
    <row r="132" ht="28" customHeight="1"/>
    <row r="133" ht="28" customHeight="1"/>
    <row r="134" ht="28" customHeight="1"/>
    <row r="135" ht="28" customHeight="1"/>
    <row r="136" ht="28" customHeight="1"/>
    <row r="137" ht="28" customHeight="1"/>
    <row r="138" ht="28" customHeight="1"/>
    <row r="139" ht="28" customHeight="1"/>
    <row r="140" ht="28" customHeight="1"/>
    <row r="141" ht="28" customHeight="1"/>
    <row r="142" ht="28" customHeight="1"/>
    <row r="143" ht="28" customHeight="1"/>
    <row r="144" ht="28" customHeight="1"/>
    <row r="145" ht="28" customHeight="1"/>
    <row r="146" ht="28" customHeight="1"/>
    <row r="147" ht="28" customHeight="1"/>
    <row r="148" ht="28" customHeight="1"/>
    <row r="149" ht="28" customHeight="1"/>
    <row r="150" ht="28" customHeight="1"/>
    <row r="151" ht="28" customHeight="1"/>
    <row r="152" ht="28" customHeight="1"/>
    <row r="153" ht="28" customHeight="1"/>
    <row r="154" ht="28" customHeight="1"/>
    <row r="155" ht="28" customHeight="1"/>
    <row r="156" ht="28" customHeight="1"/>
    <row r="157" ht="28" customHeight="1"/>
    <row r="158" ht="28" customHeight="1"/>
    <row r="159" ht="28" customHeight="1"/>
    <row r="160" ht="28" customHeight="1"/>
    <row r="161" ht="28" customHeight="1"/>
    <row r="162" ht="28" customHeight="1"/>
    <row r="163" ht="28" customHeight="1"/>
    <row r="164" ht="28" customHeight="1"/>
    <row r="165" ht="28" customHeight="1"/>
    <row r="166" ht="28" customHeight="1"/>
    <row r="167" ht="28" customHeight="1"/>
    <row r="168" ht="28" customHeight="1"/>
    <row r="169" ht="28" customHeight="1"/>
    <row r="170" ht="28" customHeight="1"/>
    <row r="171" ht="28" customHeight="1"/>
    <row r="172" ht="28" customHeight="1"/>
    <row r="173" ht="28" customHeight="1"/>
    <row r="174" ht="28" customHeight="1"/>
    <row r="175" ht="28" customHeight="1"/>
    <row r="176" ht="28" customHeight="1"/>
    <row r="177" ht="28" customHeight="1"/>
    <row r="178" ht="28" customHeight="1"/>
    <row r="179" ht="28" customHeight="1"/>
    <row r="180" ht="28" customHeight="1"/>
    <row r="181" ht="28" customHeight="1"/>
    <row r="182" ht="28" customHeight="1"/>
    <row r="183" ht="28" customHeight="1"/>
    <row r="184" ht="28" customHeight="1"/>
    <row r="185" ht="28" customHeight="1"/>
    <row r="186" ht="28" customHeight="1"/>
    <row r="187" ht="28" customHeight="1"/>
    <row r="188" ht="28" customHeight="1"/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  <row r="197" ht="28" customHeight="1"/>
    <row r="198" ht="28" customHeight="1"/>
    <row r="199" ht="28" customHeight="1"/>
    <row r="200" ht="28" customHeight="1"/>
    <row r="201" ht="28" customHeight="1"/>
    <row r="202" ht="28" customHeight="1"/>
    <row r="203" ht="28" customHeight="1"/>
    <row r="204" ht="28" customHeight="1"/>
    <row r="205" ht="28" customHeight="1"/>
    <row r="206" ht="28" customHeight="1"/>
    <row r="207" ht="28" customHeight="1"/>
    <row r="208" ht="28" customHeight="1"/>
    <row r="209" ht="28" customHeight="1"/>
    <row r="210" ht="28" customHeight="1"/>
    <row r="211" ht="28" customHeight="1"/>
    <row r="212" ht="28" customHeight="1"/>
    <row r="213" ht="28" customHeight="1"/>
    <row r="214" ht="28" customHeight="1"/>
    <row r="215" ht="28" customHeight="1"/>
    <row r="216" ht="28" customHeight="1"/>
    <row r="217" ht="28" customHeight="1"/>
    <row r="218" ht="28" customHeight="1"/>
    <row r="219" ht="28" customHeight="1"/>
    <row r="220" ht="28" customHeight="1"/>
    <row r="221" ht="28" customHeight="1"/>
    <row r="222" ht="28" customHeight="1"/>
    <row r="223" ht="28" customHeight="1"/>
    <row r="224" ht="28" customHeight="1"/>
    <row r="225" ht="28" customHeight="1"/>
    <row r="226" ht="28" customHeight="1"/>
    <row r="227" ht="28" customHeight="1"/>
    <row r="228" ht="28" customHeight="1"/>
    <row r="229" ht="28" customHeight="1"/>
    <row r="230" ht="28" customHeight="1"/>
    <row r="231" ht="28" customHeight="1"/>
    <row r="232" ht="28" customHeight="1"/>
    <row r="233" ht="28" customHeight="1"/>
    <row r="234" ht="28" customHeight="1"/>
    <row r="235" ht="28" customHeight="1"/>
    <row r="236" ht="28" customHeight="1"/>
    <row r="237" ht="28" customHeight="1"/>
    <row r="238" ht="28" customHeight="1"/>
    <row r="239" ht="28" customHeight="1"/>
    <row r="240" ht="28" customHeight="1"/>
    <row r="241" ht="28" customHeight="1"/>
    <row r="242" ht="28" customHeight="1"/>
    <row r="243" ht="28" customHeight="1"/>
    <row r="244" ht="28" customHeight="1"/>
    <row r="245" ht="28" customHeight="1"/>
    <row r="246" ht="28" customHeight="1"/>
    <row r="247" ht="28" customHeight="1"/>
    <row r="248" ht="28" customHeight="1"/>
    <row r="249" ht="28" customHeight="1"/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  <row r="331" ht="28" customHeight="1"/>
    <row r="332" ht="28" customHeight="1"/>
    <row r="333" ht="28" customHeight="1"/>
    <row r="334" ht="28" customHeight="1"/>
    <row r="335" ht="28" customHeight="1"/>
    <row r="336" ht="28" customHeight="1"/>
    <row r="337" ht="28" customHeight="1"/>
    <row r="338" ht="28" customHeight="1"/>
    <row r="339" ht="28" customHeight="1"/>
    <row r="340" ht="28" customHeight="1"/>
    <row r="341" ht="28" customHeight="1"/>
    <row r="342" ht="28" customHeight="1"/>
    <row r="343" ht="28" customHeight="1"/>
    <row r="344" ht="28" customHeight="1"/>
    <row r="345" ht="28" customHeight="1"/>
    <row r="346" ht="28" customHeight="1"/>
    <row r="347" ht="28" customHeight="1"/>
    <row r="348" ht="28" customHeight="1"/>
    <row r="349" ht="28" customHeight="1"/>
    <row r="350" ht="28" customHeight="1"/>
    <row r="351" ht="28" customHeight="1"/>
    <row r="352" ht="28" customHeight="1"/>
    <row r="353" ht="28" customHeight="1"/>
    <row r="354" ht="28" customHeight="1"/>
    <row r="355" ht="28" customHeight="1"/>
    <row r="356" ht="28" customHeight="1"/>
    <row r="357" ht="28" customHeight="1"/>
    <row r="358" ht="28" customHeight="1"/>
    <row r="359" ht="28" customHeight="1"/>
    <row r="360" ht="28" customHeight="1"/>
    <row r="361" ht="28" customHeight="1"/>
    <row r="362" ht="28" customHeight="1"/>
    <row r="363" ht="28" customHeight="1"/>
    <row r="364" ht="28" customHeight="1"/>
    <row r="365" ht="28" customHeight="1"/>
    <row r="366" ht="28" customHeight="1"/>
    <row r="367" ht="28" customHeight="1"/>
    <row r="368" ht="28" customHeight="1"/>
    <row r="369" ht="28" customHeight="1"/>
    <row r="370" ht="28" customHeight="1"/>
    <row r="371" ht="28" customHeight="1"/>
    <row r="372" ht="28" customHeight="1"/>
    <row r="373" ht="28" customHeight="1"/>
    <row r="374" ht="28" customHeight="1"/>
    <row r="375" ht="28" customHeight="1"/>
    <row r="376" ht="28" customHeight="1"/>
    <row r="377" ht="28" customHeight="1"/>
    <row r="378" ht="28" customHeight="1"/>
    <row r="379" ht="28" customHeight="1"/>
    <row r="380" ht="28" customHeight="1"/>
    <row r="381" ht="28" customHeight="1"/>
    <row r="382" ht="28" customHeight="1"/>
    <row r="383" ht="28" customHeight="1"/>
    <row r="384" ht="28" customHeight="1"/>
    <row r="385" ht="28" customHeight="1"/>
    <row r="386" ht="28" customHeight="1"/>
    <row r="387" ht="28" customHeight="1"/>
    <row r="388" ht="28" customHeight="1"/>
    <row r="389" ht="28" customHeight="1"/>
    <row r="390" ht="28" customHeight="1"/>
    <row r="391" ht="28" customHeight="1"/>
    <row r="392" ht="28" customHeight="1"/>
    <row r="393" ht="28" customHeight="1"/>
    <row r="394" ht="28" customHeight="1"/>
    <row r="395" ht="28" customHeight="1"/>
    <row r="396" ht="28" customHeight="1"/>
    <row r="397" ht="28" customHeight="1"/>
    <row r="398" ht="28" customHeight="1"/>
    <row r="399" ht="28" customHeight="1"/>
    <row r="400" ht="28" customHeight="1"/>
    <row r="401" ht="28" customHeight="1"/>
    <row r="402" ht="28" customHeight="1"/>
    <row r="403" ht="28" customHeight="1"/>
    <row r="404" ht="28" customHeight="1"/>
    <row r="405" ht="28" customHeight="1"/>
    <row r="406" ht="28" customHeight="1"/>
    <row r="407" ht="28" customHeight="1"/>
    <row r="408" ht="28" customHeight="1"/>
    <row r="409" ht="28" customHeight="1"/>
    <row r="410" ht="28" customHeight="1"/>
    <row r="411" ht="28" customHeight="1"/>
    <row r="412" ht="28" customHeight="1"/>
    <row r="413" ht="28" customHeight="1"/>
    <row r="414" ht="28" customHeight="1"/>
    <row r="415" ht="28" customHeight="1"/>
    <row r="416" ht="28" customHeight="1"/>
    <row r="417" ht="28" customHeight="1"/>
    <row r="418" ht="28" customHeight="1"/>
    <row r="419" ht="28" customHeight="1"/>
    <row r="420" ht="28" customHeight="1"/>
    <row r="421" ht="28" customHeight="1"/>
    <row r="422" ht="28" customHeight="1"/>
    <row r="423" ht="28" customHeight="1"/>
    <row r="424" ht="28" customHeight="1"/>
    <row r="425" ht="28" customHeight="1"/>
    <row r="426" ht="28" customHeight="1"/>
    <row r="427" ht="28" customHeight="1"/>
    <row r="428" ht="28" customHeight="1"/>
    <row r="429" ht="28" customHeight="1"/>
    <row r="430" ht="28" customHeight="1"/>
    <row r="431" ht="28" customHeight="1"/>
    <row r="432" ht="28" customHeight="1"/>
    <row r="433" ht="28" customHeight="1"/>
    <row r="434" ht="28" customHeight="1"/>
    <row r="435" ht="28" customHeight="1"/>
    <row r="436" ht="28" customHeight="1"/>
    <row r="437" ht="28" customHeight="1"/>
    <row r="438" ht="28" customHeight="1"/>
    <row r="439" ht="28" customHeight="1"/>
    <row r="440" ht="28" customHeight="1"/>
    <row r="441" ht="28" customHeight="1"/>
    <row r="442" ht="28" customHeight="1"/>
    <row r="443" ht="28" customHeight="1"/>
    <row r="444" ht="28" customHeight="1"/>
    <row r="445" ht="28" customHeight="1"/>
    <row r="446" ht="28" customHeight="1"/>
    <row r="447" ht="28" customHeight="1"/>
    <row r="448" ht="28" customHeight="1"/>
    <row r="449" ht="28" customHeight="1"/>
    <row r="450" ht="28" customHeight="1"/>
    <row r="451" ht="28" customHeight="1"/>
    <row r="452" ht="28" customHeight="1"/>
    <row r="453" ht="28" customHeight="1"/>
    <row r="454" ht="28" customHeight="1"/>
    <row r="455" ht="28" customHeight="1"/>
    <row r="456" ht="28" customHeight="1"/>
    <row r="457" ht="28" customHeight="1"/>
    <row r="458" ht="28" customHeight="1"/>
    <row r="459" ht="28" customHeight="1"/>
    <row r="460" ht="28" customHeight="1"/>
    <row r="461" ht="28" customHeight="1"/>
    <row r="462" ht="28" customHeight="1"/>
    <row r="463" ht="28" customHeight="1"/>
    <row r="464" ht="28" customHeight="1"/>
    <row r="465" ht="28" customHeight="1"/>
    <row r="466" ht="28" customHeight="1"/>
    <row r="467" ht="28" customHeight="1"/>
    <row r="468" ht="28" customHeight="1"/>
    <row r="469" ht="28" customHeight="1"/>
    <row r="470" ht="28" customHeight="1"/>
    <row r="471" ht="28" customHeight="1"/>
    <row r="472" ht="28" customHeight="1"/>
    <row r="473" ht="28" customHeight="1"/>
    <row r="474" ht="28" customHeight="1"/>
    <row r="475" ht="28" customHeight="1"/>
    <row r="476" ht="28" customHeight="1"/>
    <row r="477" ht="28" customHeight="1"/>
    <row r="478" ht="28" customHeight="1"/>
    <row r="479" ht="28" customHeight="1"/>
    <row r="480" ht="28" customHeight="1"/>
    <row r="481" ht="28" customHeight="1"/>
    <row r="482" ht="28" customHeight="1"/>
    <row r="483" ht="28" customHeight="1"/>
    <row r="484" ht="28" customHeight="1"/>
    <row r="485" ht="28" customHeight="1"/>
    <row r="486" ht="28" customHeight="1"/>
    <row r="487" ht="28" customHeight="1"/>
    <row r="488" ht="28" customHeight="1"/>
    <row r="489" ht="28" customHeight="1"/>
    <row r="490" ht="28" customHeight="1"/>
    <row r="491" ht="28" customHeight="1"/>
    <row r="492" ht="28" customHeight="1"/>
    <row r="493" ht="28" customHeight="1"/>
    <row r="494" ht="28" customHeight="1"/>
    <row r="495" ht="28" customHeight="1"/>
    <row r="496" ht="28" customHeight="1"/>
    <row r="497" ht="28" customHeight="1"/>
    <row r="498" ht="28" customHeight="1"/>
    <row r="499" ht="28" customHeight="1"/>
    <row r="500" ht="28" customHeight="1"/>
    <row r="501" ht="28" customHeight="1"/>
    <row r="502" ht="28" customHeight="1"/>
    <row r="503" ht="28" customHeight="1"/>
    <row r="504" ht="28" customHeight="1"/>
    <row r="505" ht="28" customHeight="1"/>
    <row r="506" ht="28" customHeight="1"/>
    <row r="507" ht="28" customHeight="1"/>
    <row r="508" ht="28" customHeight="1"/>
    <row r="509" ht="28" customHeight="1"/>
    <row r="510" ht="28" customHeight="1"/>
    <row r="511" ht="28" customHeight="1"/>
    <row r="512" ht="28" customHeight="1"/>
    <row r="513" ht="28" customHeight="1"/>
    <row r="514" ht="28" customHeight="1"/>
    <row r="515" ht="28" customHeight="1"/>
    <row r="516" ht="28" customHeight="1"/>
    <row r="517" ht="28" customHeight="1"/>
    <row r="518" ht="28" customHeight="1"/>
    <row r="519" ht="28" customHeight="1"/>
    <row r="520" ht="28" customHeight="1"/>
    <row r="521" ht="28" customHeight="1"/>
    <row r="522" ht="28" customHeight="1"/>
    <row r="523" ht="28" customHeight="1"/>
    <row r="524" ht="28" customHeight="1"/>
    <row r="525" ht="28" customHeight="1"/>
    <row r="526" ht="28" customHeight="1"/>
    <row r="527" ht="28" customHeight="1"/>
    <row r="528" ht="28" customHeight="1"/>
    <row r="529" ht="28" customHeight="1"/>
    <row r="530" ht="28" customHeight="1"/>
    <row r="531" ht="28" customHeight="1"/>
    <row r="532" ht="28" customHeight="1"/>
    <row r="533" ht="28" customHeight="1"/>
    <row r="534" ht="28" customHeight="1"/>
    <row r="535" ht="28" customHeight="1"/>
    <row r="536" ht="28" customHeight="1"/>
    <row r="537" ht="28" customHeight="1"/>
    <row r="538" ht="28" customHeight="1"/>
    <row r="539" ht="28" customHeight="1"/>
    <row r="540" ht="28" customHeight="1"/>
    <row r="541" ht="28" customHeight="1"/>
    <row r="542" ht="28" customHeight="1"/>
    <row r="543" ht="28" customHeight="1"/>
    <row r="544" ht="28" customHeight="1"/>
    <row r="545" ht="28" customHeight="1"/>
    <row r="546" ht="28" customHeight="1"/>
    <row r="547" ht="28" customHeight="1"/>
    <row r="548" ht="28" customHeight="1"/>
    <row r="549" ht="28" customHeight="1"/>
    <row r="550" ht="28" customHeight="1"/>
    <row r="551" ht="28" customHeight="1"/>
    <row r="552" ht="28" customHeight="1"/>
    <row r="553" ht="28" customHeight="1"/>
    <row r="554" ht="28" customHeight="1"/>
    <row r="555" ht="28" customHeight="1"/>
    <row r="556" ht="28" customHeight="1"/>
    <row r="557" ht="28" customHeight="1"/>
    <row r="558" ht="28" customHeight="1"/>
    <row r="559" ht="28" customHeight="1"/>
    <row r="560" ht="28" customHeight="1"/>
    <row r="561" ht="28" customHeight="1"/>
    <row r="562" ht="28" customHeight="1"/>
    <row r="563" ht="28" customHeight="1"/>
    <row r="564" ht="28" customHeight="1"/>
    <row r="565" ht="28" customHeight="1"/>
    <row r="566" ht="28" customHeight="1"/>
    <row r="567" ht="28" customHeight="1"/>
    <row r="568" ht="28" customHeight="1"/>
    <row r="569" ht="28" customHeight="1"/>
    <row r="570" ht="28" customHeight="1"/>
    <row r="571" ht="28" customHeight="1"/>
    <row r="572" ht="28" customHeight="1"/>
    <row r="573" ht="28" customHeight="1"/>
    <row r="574" ht="28" customHeight="1"/>
    <row r="575" ht="28" customHeight="1"/>
    <row r="576" ht="28" customHeight="1"/>
    <row r="577" ht="28" customHeight="1"/>
    <row r="578" ht="28" customHeight="1"/>
    <row r="579" ht="28" customHeight="1"/>
    <row r="580" ht="28" customHeight="1"/>
    <row r="581" ht="28" customHeight="1"/>
    <row r="582" ht="28" customHeight="1"/>
    <row r="583" ht="28" customHeight="1"/>
    <row r="584" ht="28" customHeight="1"/>
    <row r="585" ht="28" customHeight="1"/>
    <row r="586" ht="28" customHeight="1"/>
    <row r="587" ht="28" customHeight="1"/>
    <row r="588" ht="28" customHeight="1"/>
    <row r="589" ht="28" customHeight="1"/>
    <row r="590" ht="28" customHeight="1"/>
    <row r="591" ht="28" customHeight="1"/>
    <row r="592" ht="28" customHeight="1"/>
    <row r="593" ht="28" customHeight="1"/>
    <row r="594" ht="28" customHeight="1"/>
    <row r="595" ht="28" customHeight="1"/>
    <row r="596" ht="28" customHeight="1"/>
    <row r="597" ht="28" customHeight="1"/>
    <row r="598" ht="28" customHeight="1"/>
    <row r="599" ht="28" customHeight="1"/>
    <row r="600" ht="28" customHeight="1"/>
    <row r="601" ht="28" customHeight="1"/>
    <row r="602" ht="28" customHeight="1"/>
    <row r="603" ht="28" customHeight="1"/>
    <row r="604" ht="28" customHeight="1"/>
    <row r="605" ht="28" customHeight="1"/>
    <row r="606" ht="28" customHeight="1"/>
    <row r="607" ht="28" customHeight="1"/>
    <row r="608" ht="28" customHeight="1"/>
    <row r="609" ht="28" customHeight="1"/>
    <row r="610" ht="28" customHeight="1"/>
    <row r="611" ht="28" customHeight="1"/>
    <row r="612" ht="28" customHeight="1"/>
    <row r="613" ht="28" customHeight="1"/>
    <row r="614" ht="28" customHeight="1"/>
    <row r="615" ht="28" customHeight="1"/>
    <row r="616" ht="28" customHeight="1"/>
    <row r="617" ht="28" customHeight="1"/>
    <row r="618" ht="28" customHeight="1"/>
    <row r="619" ht="28" customHeight="1"/>
    <row r="620" ht="28" customHeight="1"/>
    <row r="621" ht="28" customHeight="1"/>
    <row r="622" ht="28" customHeight="1"/>
    <row r="623" ht="28" customHeight="1"/>
    <row r="624" ht="28" customHeight="1"/>
    <row r="625" ht="28" customHeight="1"/>
    <row r="626" ht="28" customHeight="1"/>
    <row r="627" ht="28" customHeight="1"/>
    <row r="628" ht="28" customHeight="1"/>
    <row r="629" ht="28" customHeight="1"/>
    <row r="630" ht="28" customHeight="1"/>
    <row r="631" ht="28" customHeight="1"/>
    <row r="632" ht="28" customHeight="1"/>
    <row r="633" ht="28" customHeight="1"/>
    <row r="634" ht="28" customHeight="1"/>
    <row r="635" ht="28" customHeight="1"/>
    <row r="636" ht="28" customHeight="1"/>
    <row r="637" ht="28" customHeight="1"/>
    <row r="638" ht="28" customHeight="1"/>
    <row r="639" ht="28" customHeight="1"/>
    <row r="640" ht="28" customHeight="1"/>
    <row r="641" ht="28" customHeight="1"/>
    <row r="642" ht="28" customHeight="1"/>
    <row r="643" ht="28" customHeight="1"/>
    <row r="644" ht="28" customHeight="1"/>
    <row r="645" ht="28" customHeight="1"/>
    <row r="646" ht="28" customHeight="1"/>
    <row r="647" ht="28" customHeight="1"/>
    <row r="648" ht="28" customHeight="1"/>
    <row r="649" ht="28" customHeight="1"/>
    <row r="650" ht="28" customHeight="1"/>
    <row r="651" ht="28" customHeight="1"/>
    <row r="652" ht="28" customHeight="1"/>
    <row r="653" ht="28" customHeight="1"/>
    <row r="654" ht="28" customHeight="1"/>
    <row r="655" ht="28" customHeight="1"/>
    <row r="656" ht="28" customHeight="1"/>
    <row r="657" ht="28" customHeight="1"/>
    <row r="658" ht="28" customHeight="1"/>
    <row r="659" ht="28" customHeight="1"/>
    <row r="660" ht="28" customHeight="1"/>
    <row r="661" ht="28" customHeight="1"/>
    <row r="662" ht="28" customHeight="1"/>
    <row r="663" ht="28" customHeight="1"/>
    <row r="664" ht="28" customHeight="1"/>
    <row r="665" ht="28" customHeight="1"/>
    <row r="666" ht="28" customHeight="1"/>
    <row r="667" ht="28" customHeight="1"/>
    <row r="668" ht="28" customHeight="1"/>
    <row r="669" ht="28" customHeight="1"/>
    <row r="670" ht="28" customHeight="1"/>
    <row r="671" ht="28" customHeight="1"/>
    <row r="672" ht="28" customHeight="1"/>
    <row r="673" ht="28" customHeight="1"/>
    <row r="674" ht="28" customHeight="1"/>
    <row r="675" ht="28" customHeight="1"/>
    <row r="676" ht="28" customHeight="1"/>
    <row r="677" ht="28" customHeight="1"/>
    <row r="678" ht="28" customHeight="1"/>
    <row r="679" ht="28" customHeight="1"/>
    <row r="680" ht="28" customHeight="1"/>
    <row r="681" ht="28" customHeight="1"/>
    <row r="682" ht="28" customHeight="1"/>
    <row r="683" ht="28" customHeight="1"/>
    <row r="684" ht="28" customHeight="1"/>
    <row r="685" ht="28" customHeight="1"/>
    <row r="686" ht="28" customHeight="1"/>
    <row r="687" ht="28" customHeight="1"/>
    <row r="688" ht="28" customHeight="1"/>
    <row r="689" ht="28" customHeight="1"/>
    <row r="690" ht="28" customHeight="1"/>
    <row r="691" ht="28" customHeight="1"/>
    <row r="692" ht="28" customHeight="1"/>
    <row r="693" ht="28" customHeight="1"/>
    <row r="694" ht="28" customHeight="1"/>
    <row r="695" ht="28" customHeight="1"/>
    <row r="696" ht="28" customHeight="1"/>
    <row r="697" ht="28" customHeight="1"/>
    <row r="698" ht="28" customHeight="1"/>
    <row r="699" ht="28" customHeight="1"/>
    <row r="700" ht="28" customHeight="1"/>
    <row r="701" ht="28" customHeight="1"/>
    <row r="702" ht="28" customHeight="1"/>
    <row r="703" ht="28" customHeight="1"/>
    <row r="704" ht="28" customHeight="1"/>
    <row r="705" ht="28" customHeight="1"/>
    <row r="706" ht="28" customHeight="1"/>
    <row r="707" ht="28" customHeight="1"/>
    <row r="708" ht="28" customHeight="1"/>
    <row r="709" ht="28" customHeight="1"/>
    <row r="710" ht="28" customHeight="1"/>
    <row r="711" ht="28" customHeight="1"/>
    <row r="712" ht="28" customHeight="1"/>
    <row r="713" ht="28" customHeight="1"/>
    <row r="714" ht="28" customHeight="1"/>
    <row r="715" ht="28" customHeight="1"/>
    <row r="716" ht="28" customHeight="1"/>
    <row r="717" ht="28" customHeight="1"/>
    <row r="718" ht="28" customHeight="1"/>
    <row r="719" ht="28" customHeight="1"/>
    <row r="720" ht="28" customHeight="1"/>
    <row r="721" ht="28" customHeight="1"/>
    <row r="722" ht="28" customHeight="1"/>
    <row r="723" ht="28" customHeight="1"/>
    <row r="724" ht="28" customHeight="1"/>
    <row r="725" ht="28" customHeight="1"/>
    <row r="726" ht="28" customHeight="1"/>
    <row r="727" ht="28" customHeight="1"/>
    <row r="728" ht="28" customHeight="1"/>
    <row r="729" ht="28" customHeight="1"/>
    <row r="730" ht="28" customHeight="1"/>
    <row r="731" ht="28" customHeight="1"/>
    <row r="732" ht="28" customHeight="1"/>
    <row r="733" ht="28" customHeight="1"/>
    <row r="734" ht="28" customHeight="1"/>
    <row r="735" ht="28" customHeight="1"/>
    <row r="736" ht="28" customHeight="1"/>
    <row r="737" ht="28" customHeight="1"/>
    <row r="738" ht="28" customHeight="1"/>
    <row r="739" ht="28" customHeight="1"/>
    <row r="740" ht="28" customHeight="1"/>
    <row r="741" ht="28" customHeight="1"/>
    <row r="742" ht="28" customHeight="1"/>
    <row r="743" ht="28" customHeight="1"/>
    <row r="744" ht="28" customHeight="1"/>
    <row r="745" ht="28" customHeight="1"/>
    <row r="746" ht="28" customHeight="1"/>
    <row r="747" ht="28" customHeight="1"/>
    <row r="748" ht="28" customHeight="1"/>
    <row r="749" ht="28" customHeight="1"/>
    <row r="750" ht="28" customHeight="1"/>
    <row r="751" ht="28" customHeight="1"/>
    <row r="752" ht="28" customHeight="1"/>
    <row r="753" ht="28" customHeight="1"/>
    <row r="754" ht="28" customHeight="1"/>
    <row r="755" ht="28" customHeight="1"/>
    <row r="756" ht="28" customHeight="1"/>
    <row r="757" ht="28" customHeight="1"/>
    <row r="758" ht="28" customHeight="1"/>
    <row r="759" ht="28" customHeight="1"/>
    <row r="760" ht="28" customHeight="1"/>
    <row r="761" ht="28" customHeight="1"/>
    <row r="762" ht="28" customHeight="1"/>
    <row r="763" ht="28" customHeight="1"/>
    <row r="764" ht="28" customHeight="1"/>
    <row r="765" ht="28" customHeight="1"/>
    <row r="766" ht="28" customHeight="1"/>
    <row r="767" ht="28" customHeight="1"/>
    <row r="768" ht="28" customHeight="1"/>
    <row r="769" ht="28" customHeight="1"/>
    <row r="770" ht="28" customHeight="1"/>
    <row r="771" ht="28" customHeight="1"/>
    <row r="772" ht="28" customHeight="1"/>
    <row r="773" ht="28" customHeight="1"/>
    <row r="774" ht="28" customHeight="1"/>
    <row r="775" ht="28" customHeight="1"/>
    <row r="776" ht="28" customHeight="1"/>
    <row r="777" ht="28" customHeight="1"/>
    <row r="778" ht="28" customHeight="1"/>
    <row r="779" ht="28" customHeight="1"/>
    <row r="780" ht="28" customHeight="1"/>
    <row r="781" ht="28" customHeight="1"/>
    <row r="782" ht="28" customHeight="1"/>
    <row r="783" ht="28" customHeight="1"/>
    <row r="784" ht="28" customHeight="1"/>
    <row r="785" ht="28" customHeight="1"/>
    <row r="786" ht="28" customHeight="1"/>
    <row r="787" ht="28" customHeight="1"/>
    <row r="788" ht="28" customHeight="1"/>
    <row r="789" ht="28" customHeight="1"/>
    <row r="790" ht="28" customHeight="1"/>
    <row r="791" ht="28" customHeight="1"/>
    <row r="792" ht="28" customHeight="1"/>
    <row r="793" ht="28" customHeight="1"/>
    <row r="794" ht="28" customHeight="1"/>
    <row r="795" ht="28" customHeight="1"/>
    <row r="796" ht="28" customHeight="1"/>
    <row r="797" ht="28" customHeight="1"/>
    <row r="798" ht="28" customHeight="1"/>
    <row r="799" ht="28" customHeight="1"/>
    <row r="800" ht="28" customHeight="1"/>
    <row r="801" ht="28" customHeight="1"/>
    <row r="802" ht="28" customHeight="1"/>
    <row r="803" ht="28" customHeight="1"/>
    <row r="804" ht="28" customHeight="1"/>
    <row r="805" ht="28" customHeight="1"/>
    <row r="806" ht="28" customHeight="1"/>
    <row r="807" ht="28" customHeight="1"/>
    <row r="808" ht="28" customHeight="1"/>
    <row r="809" ht="28" customHeight="1"/>
    <row r="810" ht="28" customHeight="1"/>
    <row r="811" ht="28" customHeight="1"/>
    <row r="812" ht="28" customHeight="1"/>
    <row r="813" ht="28" customHeight="1"/>
    <row r="814" ht="28" customHeight="1"/>
    <row r="815" ht="28" customHeight="1"/>
    <row r="816" ht="28" customHeight="1"/>
    <row r="817" ht="28" customHeight="1"/>
    <row r="818" ht="28" customHeight="1"/>
    <row r="819" ht="28" customHeight="1"/>
    <row r="820" ht="28" customHeight="1"/>
    <row r="821" ht="28" customHeight="1"/>
    <row r="822" ht="28" customHeight="1"/>
    <row r="823" ht="28" customHeight="1"/>
    <row r="824" ht="28" customHeight="1"/>
    <row r="825" ht="28" customHeight="1"/>
    <row r="826" ht="28" customHeight="1"/>
    <row r="827" ht="28" customHeight="1"/>
    <row r="828" ht="28" customHeight="1"/>
    <row r="829" ht="28" customHeight="1"/>
    <row r="830" ht="28" customHeight="1"/>
    <row r="831" ht="28" customHeight="1"/>
    <row r="832" ht="28" customHeight="1"/>
    <row r="833" ht="28" customHeight="1"/>
    <row r="834" ht="28" customHeight="1"/>
    <row r="835" ht="28" customHeight="1"/>
    <row r="836" ht="28" customHeight="1"/>
    <row r="837" ht="28" customHeight="1"/>
    <row r="838" ht="28" customHeight="1"/>
    <row r="839" ht="28" customHeight="1"/>
    <row r="840" ht="28" customHeight="1"/>
    <row r="841" ht="28" customHeight="1"/>
    <row r="842" ht="28" customHeight="1"/>
    <row r="843" ht="28" customHeight="1"/>
    <row r="844" ht="28" customHeight="1"/>
    <row r="845" ht="28" customHeight="1"/>
    <row r="846" ht="28" customHeight="1"/>
    <row r="847" ht="28" customHeight="1"/>
    <row r="848" ht="28" customHeight="1"/>
    <row r="849" ht="28" customHeight="1"/>
    <row r="850" ht="28" customHeight="1"/>
    <row r="851" ht="28" customHeight="1"/>
    <row r="852" ht="28" customHeight="1"/>
    <row r="853" ht="28" customHeight="1"/>
    <row r="854" ht="28" customHeight="1"/>
    <row r="855" ht="28" customHeight="1"/>
    <row r="856" ht="28" customHeight="1"/>
    <row r="857" ht="28" customHeight="1"/>
    <row r="858" ht="28" customHeight="1"/>
    <row r="859" ht="28" customHeight="1"/>
    <row r="860" ht="28" customHeight="1"/>
    <row r="861" ht="28" customHeight="1"/>
    <row r="862" ht="28" customHeight="1"/>
    <row r="863" ht="28" customHeight="1"/>
    <row r="864" ht="28" customHeight="1"/>
    <row r="865" ht="28" customHeight="1"/>
    <row r="866" ht="28" customHeight="1"/>
    <row r="867" ht="28" customHeight="1"/>
    <row r="868" ht="28" customHeight="1"/>
    <row r="869" ht="28" customHeight="1"/>
    <row r="870" ht="28" customHeight="1"/>
    <row r="871" ht="28" customHeight="1"/>
    <row r="872" ht="28" customHeight="1"/>
    <row r="873" ht="28" customHeight="1"/>
    <row r="874" ht="28" customHeight="1"/>
    <row r="875" ht="28" customHeight="1"/>
    <row r="876" ht="28" customHeight="1"/>
    <row r="877" ht="28" customHeight="1"/>
    <row r="878" ht="28" customHeight="1"/>
    <row r="879" ht="28" customHeight="1"/>
    <row r="880" ht="28" customHeight="1"/>
    <row r="881" ht="28" customHeight="1"/>
    <row r="882" ht="28" customHeight="1"/>
    <row r="883" ht="28" customHeight="1"/>
    <row r="884" ht="28" customHeight="1"/>
    <row r="885" ht="28" customHeight="1"/>
    <row r="886" ht="28" customHeight="1"/>
    <row r="887" ht="28" customHeight="1"/>
    <row r="888" ht="28" customHeight="1"/>
    <row r="889" ht="28" customHeight="1"/>
    <row r="890" ht="28" customHeight="1"/>
    <row r="891" ht="28" customHeight="1"/>
    <row r="892" ht="28" customHeight="1"/>
    <row r="893" ht="28" customHeight="1"/>
    <row r="894" ht="28" customHeight="1"/>
    <row r="895" ht="28" customHeight="1"/>
    <row r="896" ht="28" customHeight="1"/>
    <row r="897" ht="28" customHeight="1"/>
    <row r="898" ht="28" customHeight="1"/>
    <row r="899" ht="28" customHeight="1"/>
    <row r="900" ht="28" customHeight="1"/>
    <row r="901" ht="28" customHeight="1"/>
    <row r="902" ht="28" customHeight="1"/>
    <row r="903" ht="28" customHeight="1"/>
    <row r="904" ht="28" customHeight="1"/>
    <row r="905" ht="28" customHeight="1"/>
    <row r="906" ht="28" customHeight="1"/>
    <row r="907" ht="28" customHeight="1"/>
    <row r="908" ht="28" customHeight="1"/>
    <row r="909" ht="28" customHeight="1"/>
    <row r="910" ht="28" customHeight="1"/>
    <row r="911" ht="28" customHeight="1"/>
    <row r="912" ht="28" customHeight="1"/>
    <row r="913" ht="28" customHeight="1"/>
    <row r="914" ht="28" customHeight="1"/>
    <row r="915" ht="28" customHeight="1"/>
    <row r="916" ht="28" customHeight="1"/>
    <row r="917" ht="28" customHeight="1"/>
    <row r="918" ht="28" customHeight="1"/>
    <row r="919" ht="28" customHeight="1"/>
    <row r="920" ht="28" customHeight="1"/>
    <row r="921" ht="28" customHeight="1"/>
    <row r="922" ht="28" customHeight="1"/>
    <row r="923" ht="28" customHeight="1"/>
    <row r="924" ht="28" customHeight="1"/>
    <row r="925" ht="28" customHeight="1"/>
    <row r="926" ht="28" customHeight="1"/>
    <row r="927" ht="28" customHeight="1"/>
    <row r="928" ht="28" customHeight="1"/>
    <row r="929" ht="28" customHeight="1"/>
    <row r="930" ht="28" customHeight="1"/>
    <row r="931" ht="28" customHeight="1"/>
    <row r="932" ht="28" customHeight="1"/>
    <row r="933" ht="28" customHeight="1"/>
    <row r="934" ht="28" customHeight="1"/>
    <row r="935" ht="28" customHeight="1"/>
    <row r="936" ht="28" customHeight="1"/>
    <row r="937" ht="28" customHeight="1"/>
    <row r="938" ht="28" customHeight="1"/>
    <row r="939" ht="28" customHeight="1"/>
    <row r="940" ht="28" customHeight="1"/>
    <row r="941" ht="28" customHeight="1"/>
    <row r="942" ht="28" customHeight="1"/>
    <row r="943" ht="28" customHeight="1"/>
    <row r="944" ht="28" customHeight="1"/>
    <row r="945" ht="28" customHeight="1"/>
    <row r="946" ht="28" customHeight="1"/>
    <row r="947" ht="28" customHeight="1"/>
    <row r="948" ht="28" customHeight="1"/>
    <row r="949" ht="28" customHeight="1"/>
    <row r="950" ht="28" customHeight="1"/>
    <row r="951" ht="28" customHeight="1"/>
    <row r="952" ht="28" customHeight="1"/>
    <row r="953" ht="28" customHeight="1"/>
    <row r="954" ht="28" customHeight="1"/>
    <row r="955" ht="28" customHeight="1"/>
    <row r="956" ht="28" customHeight="1"/>
    <row r="957" ht="28" customHeight="1"/>
    <row r="958" ht="28" customHeight="1"/>
    <row r="959" ht="28" customHeight="1"/>
    <row r="960" ht="28" customHeight="1"/>
    <row r="961" ht="28" customHeight="1"/>
    <row r="962" ht="28" customHeight="1"/>
    <row r="963" ht="28" customHeight="1"/>
    <row r="964" ht="28" customHeight="1"/>
    <row r="965" ht="28" customHeight="1"/>
    <row r="966" ht="28" customHeight="1"/>
    <row r="967" ht="28" customHeight="1"/>
    <row r="968" ht="28" customHeight="1"/>
    <row r="969" ht="28" customHeight="1"/>
    <row r="970" ht="28" customHeight="1"/>
    <row r="971" ht="28" customHeight="1"/>
    <row r="972" ht="28" customHeight="1"/>
    <row r="973" ht="28" customHeight="1"/>
    <row r="974" ht="28" customHeight="1"/>
    <row r="975" ht="28" customHeight="1"/>
    <row r="976" ht="28" customHeight="1"/>
    <row r="977" ht="28" customHeight="1"/>
    <row r="978" ht="28" customHeight="1"/>
    <row r="979" ht="28" customHeight="1"/>
    <row r="980" ht="28" customHeight="1"/>
    <row r="981" ht="28" customHeight="1"/>
    <row r="982" ht="28" customHeight="1"/>
    <row r="983" ht="28" customHeight="1"/>
    <row r="984" ht="28" customHeight="1"/>
    <row r="985" ht="28" customHeight="1"/>
    <row r="986" ht="28" customHeight="1"/>
    <row r="987" ht="28" customHeight="1"/>
    <row r="988" ht="28" customHeight="1"/>
    <row r="989" ht="28" customHeight="1"/>
    <row r="990" ht="28" customHeight="1"/>
    <row r="991" ht="28" customHeight="1"/>
    <row r="992" ht="28" customHeight="1"/>
    <row r="993" ht="28" customHeight="1"/>
    <row r="994" ht="28" customHeight="1"/>
    <row r="995" ht="28" customHeight="1"/>
    <row r="996" ht="28" customHeight="1"/>
    <row r="997" ht="28" customHeight="1"/>
    <row r="998" ht="28" customHeight="1"/>
    <row r="999" ht="28" customHeight="1"/>
    <row r="1000" ht="28" customHeight="1"/>
    <row r="1001" ht="28" customHeight="1"/>
    <row r="1002" ht="28" customHeight="1"/>
  </sheetData>
  <dataValidations count="2">
    <dataValidation type="list" allowBlank="1" showInputMessage="1" showErrorMessage="1" sqref="L2:L25" xr:uid="{00000000-0002-0000-0100-000000000000}">
      <formula1>"Researching,Contacted,In Discussion,Active Partner,On Hold,Not a Fit"</formula1>
    </dataValidation>
    <dataValidation type="list" allowBlank="1" showInputMessage="1" showErrorMessage="1" sqref="K2:K25" xr:uid="{00000000-0002-0000-0100-000001000000}">
      <formula1>"High,Medium-High,Medium,Low"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6E"/>
  </sheetPr>
  <dimension ref="A1:O28"/>
  <sheetViews>
    <sheetView workbookViewId="0"/>
  </sheetViews>
  <sheetFormatPr baseColWidth="10" defaultColWidth="8.83203125" defaultRowHeight="16"/>
  <cols>
    <col min="1" max="1" width="46.6640625" customWidth="1"/>
    <col min="2" max="2" width="21.6640625" customWidth="1"/>
    <col min="3" max="3" width="16.6640625" customWidth="1"/>
    <col min="4" max="4" width="18.33203125" customWidth="1"/>
    <col min="5" max="5" width="30" customWidth="1"/>
    <col min="6" max="6" width="41.6640625" customWidth="1"/>
    <col min="7" max="9" width="50" customWidth="1"/>
    <col min="10" max="11" width="41.6640625" customWidth="1"/>
    <col min="12" max="15" width="50" customWidth="1"/>
  </cols>
  <sheetData>
    <row r="1" spans="1:15">
      <c r="A1" s="23" t="s">
        <v>42</v>
      </c>
      <c r="B1" s="24" t="s">
        <v>245</v>
      </c>
      <c r="C1" s="24" t="s">
        <v>52</v>
      </c>
      <c r="D1" s="24" t="s">
        <v>8</v>
      </c>
      <c r="E1" s="24" t="s">
        <v>246</v>
      </c>
      <c r="F1" s="24" t="s">
        <v>247</v>
      </c>
      <c r="G1" s="24" t="s">
        <v>43</v>
      </c>
      <c r="H1" s="24" t="s">
        <v>44</v>
      </c>
      <c r="I1" s="24" t="s">
        <v>45</v>
      </c>
      <c r="J1" s="24" t="s">
        <v>46</v>
      </c>
      <c r="K1" s="24" t="s">
        <v>47</v>
      </c>
      <c r="L1" s="24" t="s">
        <v>48</v>
      </c>
      <c r="M1" s="24" t="s">
        <v>49</v>
      </c>
      <c r="N1" s="24" t="s">
        <v>50</v>
      </c>
      <c r="O1" s="25" t="s">
        <v>51</v>
      </c>
    </row>
    <row r="2" spans="1:15" ht="68">
      <c r="A2" s="78" t="s">
        <v>53</v>
      </c>
      <c r="B2" s="27" t="s">
        <v>37</v>
      </c>
      <c r="C2" s="27" t="s">
        <v>63</v>
      </c>
      <c r="D2" s="27" t="s">
        <v>23</v>
      </c>
      <c r="E2" s="27" t="s">
        <v>248</v>
      </c>
      <c r="F2" s="27" t="s">
        <v>249</v>
      </c>
      <c r="G2" s="27" t="s">
        <v>54</v>
      </c>
      <c r="H2" s="27" t="s">
        <v>55</v>
      </c>
      <c r="I2" s="27" t="s">
        <v>56</v>
      </c>
      <c r="J2" s="27" t="s">
        <v>57</v>
      </c>
      <c r="K2" s="27" t="s">
        <v>58</v>
      </c>
      <c r="L2" s="27" t="s">
        <v>59</v>
      </c>
      <c r="M2" s="27" t="s">
        <v>60</v>
      </c>
      <c r="N2" s="27" t="s">
        <v>61</v>
      </c>
      <c r="O2" s="28" t="s">
        <v>62</v>
      </c>
    </row>
    <row r="3" spans="1:15" ht="51">
      <c r="A3" s="79" t="s">
        <v>250</v>
      </c>
      <c r="B3" s="30" t="s">
        <v>39</v>
      </c>
      <c r="C3" s="30" t="s">
        <v>63</v>
      </c>
      <c r="D3" s="30" t="s">
        <v>23</v>
      </c>
      <c r="E3" s="30" t="s">
        <v>251</v>
      </c>
      <c r="F3" s="30" t="s">
        <v>252</v>
      </c>
      <c r="G3" s="30" t="s">
        <v>65</v>
      </c>
      <c r="H3" s="30" t="s">
        <v>66</v>
      </c>
      <c r="I3" s="30" t="s">
        <v>56</v>
      </c>
      <c r="J3" s="30" t="s">
        <v>67</v>
      </c>
      <c r="K3" s="30" t="s">
        <v>68</v>
      </c>
      <c r="L3" s="30" t="s">
        <v>69</v>
      </c>
      <c r="M3" s="30" t="s">
        <v>70</v>
      </c>
      <c r="N3" s="30" t="s">
        <v>71</v>
      </c>
      <c r="O3" s="31" t="s">
        <v>72</v>
      </c>
    </row>
    <row r="4" spans="1:15" ht="51">
      <c r="A4" s="78" t="s">
        <v>73</v>
      </c>
      <c r="B4" s="27" t="s">
        <v>37</v>
      </c>
      <c r="C4" s="27" t="s">
        <v>63</v>
      </c>
      <c r="D4" s="27" t="s">
        <v>23</v>
      </c>
      <c r="E4" s="27" t="s">
        <v>253</v>
      </c>
      <c r="F4" s="27" t="s">
        <v>254</v>
      </c>
      <c r="G4" s="27" t="s">
        <v>54</v>
      </c>
      <c r="H4" s="27" t="s">
        <v>74</v>
      </c>
      <c r="I4" s="27" t="s">
        <v>75</v>
      </c>
      <c r="J4" s="27" t="s">
        <v>57</v>
      </c>
      <c r="K4" s="27" t="s">
        <v>76</v>
      </c>
      <c r="L4" s="27" t="s">
        <v>77</v>
      </c>
      <c r="M4" s="27" t="s">
        <v>60</v>
      </c>
      <c r="N4" s="27" t="s">
        <v>78</v>
      </c>
      <c r="O4" s="28" t="s">
        <v>79</v>
      </c>
    </row>
    <row r="5" spans="1:15" ht="51">
      <c r="A5" s="79" t="s">
        <v>80</v>
      </c>
      <c r="B5" s="30" t="s">
        <v>37</v>
      </c>
      <c r="C5" s="30" t="s">
        <v>63</v>
      </c>
      <c r="D5" s="30" t="s">
        <v>23</v>
      </c>
      <c r="E5" s="30" t="s">
        <v>255</v>
      </c>
      <c r="F5" s="30" t="s">
        <v>256</v>
      </c>
      <c r="G5" s="30" t="s">
        <v>81</v>
      </c>
      <c r="H5" s="30" t="s">
        <v>82</v>
      </c>
      <c r="I5" s="30" t="s">
        <v>83</v>
      </c>
      <c r="J5" s="30" t="s">
        <v>84</v>
      </c>
      <c r="K5" s="30" t="s">
        <v>85</v>
      </c>
      <c r="L5" s="30" t="s">
        <v>86</v>
      </c>
      <c r="M5" s="30" t="s">
        <v>87</v>
      </c>
      <c r="N5" s="30"/>
      <c r="O5" s="31" t="s">
        <v>88</v>
      </c>
    </row>
    <row r="6" spans="1:15" ht="68">
      <c r="A6" s="78" t="s">
        <v>89</v>
      </c>
      <c r="B6" s="27" t="s">
        <v>37</v>
      </c>
      <c r="C6" s="27" t="s">
        <v>98</v>
      </c>
      <c r="D6" s="27" t="s">
        <v>23</v>
      </c>
      <c r="E6" s="27" t="s">
        <v>257</v>
      </c>
      <c r="F6" s="27" t="s">
        <v>258</v>
      </c>
      <c r="G6" s="27" t="s">
        <v>90</v>
      </c>
      <c r="H6" s="27" t="s">
        <v>91</v>
      </c>
      <c r="I6" s="27" t="s">
        <v>83</v>
      </c>
      <c r="J6" s="27" t="s">
        <v>92</v>
      </c>
      <c r="K6" s="27" t="s">
        <v>93</v>
      </c>
      <c r="L6" s="27" t="s">
        <v>94</v>
      </c>
      <c r="M6" s="27" t="s">
        <v>95</v>
      </c>
      <c r="N6" s="27" t="s">
        <v>259</v>
      </c>
      <c r="O6" s="28" t="s">
        <v>97</v>
      </c>
    </row>
    <row r="7" spans="1:15" ht="51">
      <c r="A7" s="79" t="s">
        <v>162</v>
      </c>
      <c r="B7" s="30" t="s">
        <v>37</v>
      </c>
      <c r="C7" s="30" t="s">
        <v>172</v>
      </c>
      <c r="D7" s="30" t="s">
        <v>23</v>
      </c>
      <c r="E7" s="30" t="s">
        <v>260</v>
      </c>
      <c r="F7" s="30" t="s">
        <v>261</v>
      </c>
      <c r="G7" s="30" t="s">
        <v>163</v>
      </c>
      <c r="H7" s="30" t="s">
        <v>164</v>
      </c>
      <c r="I7" s="30" t="s">
        <v>165</v>
      </c>
      <c r="J7" s="30" t="s">
        <v>166</v>
      </c>
      <c r="K7" s="30" t="s">
        <v>167</v>
      </c>
      <c r="L7" s="30" t="s">
        <v>168</v>
      </c>
      <c r="M7" s="30" t="s">
        <v>169</v>
      </c>
      <c r="N7" s="30" t="s">
        <v>170</v>
      </c>
      <c r="O7" s="31" t="s">
        <v>171</v>
      </c>
    </row>
    <row r="8" spans="1:15" ht="51">
      <c r="A8" s="26" t="s">
        <v>262</v>
      </c>
      <c r="B8" s="27" t="s">
        <v>38</v>
      </c>
      <c r="C8" s="27" t="s">
        <v>63</v>
      </c>
      <c r="D8" s="27" t="s">
        <v>23</v>
      </c>
      <c r="E8" s="27" t="s">
        <v>263</v>
      </c>
      <c r="F8" s="27" t="s">
        <v>264</v>
      </c>
      <c r="G8" s="27" t="s">
        <v>174</v>
      </c>
      <c r="H8" s="27" t="s">
        <v>175</v>
      </c>
      <c r="I8" s="27" t="s">
        <v>176</v>
      </c>
      <c r="J8" s="27" t="s">
        <v>177</v>
      </c>
      <c r="K8" s="27" t="s">
        <v>178</v>
      </c>
      <c r="L8" s="27" t="s">
        <v>179</v>
      </c>
      <c r="M8" s="27" t="s">
        <v>180</v>
      </c>
      <c r="N8" s="27" t="s">
        <v>181</v>
      </c>
      <c r="O8" s="28" t="s">
        <v>182</v>
      </c>
    </row>
    <row r="9" spans="1:15" ht="68">
      <c r="A9" s="29" t="s">
        <v>183</v>
      </c>
      <c r="B9" s="30" t="s">
        <v>38</v>
      </c>
      <c r="C9" s="30" t="s">
        <v>98</v>
      </c>
      <c r="D9" s="30" t="s">
        <v>23</v>
      </c>
      <c r="E9" s="30" t="s">
        <v>265</v>
      </c>
      <c r="F9" s="30" t="s">
        <v>266</v>
      </c>
      <c r="G9" s="30" t="s">
        <v>184</v>
      </c>
      <c r="H9" s="30" t="s">
        <v>185</v>
      </c>
      <c r="I9" s="30" t="s">
        <v>176</v>
      </c>
      <c r="J9" s="30" t="s">
        <v>186</v>
      </c>
      <c r="K9" s="30" t="s">
        <v>187</v>
      </c>
      <c r="L9" s="30" t="s">
        <v>188</v>
      </c>
      <c r="M9" s="30" t="s">
        <v>189</v>
      </c>
      <c r="N9" s="30"/>
      <c r="O9" s="31" t="s">
        <v>190</v>
      </c>
    </row>
    <row r="10" spans="1:15" ht="51">
      <c r="A10" s="26" t="s">
        <v>191</v>
      </c>
      <c r="B10" s="27" t="s">
        <v>37</v>
      </c>
      <c r="C10" s="27" t="s">
        <v>98</v>
      </c>
      <c r="D10" s="27" t="s">
        <v>23</v>
      </c>
      <c r="E10" s="27" t="s">
        <v>267</v>
      </c>
      <c r="F10" s="27" t="s">
        <v>268</v>
      </c>
      <c r="G10" s="27" t="s">
        <v>192</v>
      </c>
      <c r="H10" s="27" t="s">
        <v>193</v>
      </c>
      <c r="I10" s="27" t="s">
        <v>176</v>
      </c>
      <c r="J10" s="27" t="s">
        <v>194</v>
      </c>
      <c r="K10" s="27" t="s">
        <v>195</v>
      </c>
      <c r="L10" s="27" t="s">
        <v>196</v>
      </c>
      <c r="M10" s="27" t="s">
        <v>197</v>
      </c>
      <c r="N10" s="27" t="s">
        <v>269</v>
      </c>
      <c r="O10" s="28" t="s">
        <v>199</v>
      </c>
    </row>
    <row r="11" spans="1:15" ht="51">
      <c r="A11" s="29" t="s">
        <v>200</v>
      </c>
      <c r="B11" s="30" t="s">
        <v>38</v>
      </c>
      <c r="C11" s="30" t="s">
        <v>98</v>
      </c>
      <c r="D11" s="30" t="s">
        <v>23</v>
      </c>
      <c r="E11" s="30" t="s">
        <v>270</v>
      </c>
      <c r="F11" s="30" t="s">
        <v>271</v>
      </c>
      <c r="G11" s="30" t="s">
        <v>201</v>
      </c>
      <c r="H11" s="30" t="s">
        <v>202</v>
      </c>
      <c r="I11" s="30" t="s">
        <v>176</v>
      </c>
      <c r="J11" s="30" t="s">
        <v>203</v>
      </c>
      <c r="K11" s="30" t="s">
        <v>204</v>
      </c>
      <c r="L11" s="30" t="s">
        <v>205</v>
      </c>
      <c r="M11" s="30" t="s">
        <v>206</v>
      </c>
      <c r="N11" s="30"/>
      <c r="O11" s="31" t="s">
        <v>207</v>
      </c>
    </row>
    <row r="12" spans="1:15" ht="51">
      <c r="A12" s="26" t="s">
        <v>208</v>
      </c>
      <c r="B12" s="27" t="s">
        <v>38</v>
      </c>
      <c r="C12" s="27" t="s">
        <v>172</v>
      </c>
      <c r="D12" s="27" t="s">
        <v>23</v>
      </c>
      <c r="E12" s="27" t="s">
        <v>272</v>
      </c>
      <c r="F12" s="27" t="s">
        <v>273</v>
      </c>
      <c r="G12" s="27" t="s">
        <v>209</v>
      </c>
      <c r="H12" s="27" t="s">
        <v>210</v>
      </c>
      <c r="I12" s="27" t="s">
        <v>176</v>
      </c>
      <c r="J12" s="27" t="s">
        <v>211</v>
      </c>
      <c r="K12" s="27" t="s">
        <v>212</v>
      </c>
      <c r="L12" s="27" t="s">
        <v>213</v>
      </c>
      <c r="M12" s="27" t="s">
        <v>214</v>
      </c>
      <c r="N12" s="27"/>
      <c r="O12" s="28" t="s">
        <v>215</v>
      </c>
    </row>
    <row r="13" spans="1:15" ht="68">
      <c r="A13" s="29" t="s">
        <v>216</v>
      </c>
      <c r="B13" s="30" t="s">
        <v>38</v>
      </c>
      <c r="C13" s="30" t="s">
        <v>98</v>
      </c>
      <c r="D13" s="30" t="s">
        <v>23</v>
      </c>
      <c r="E13" s="30" t="s">
        <v>274</v>
      </c>
      <c r="F13" s="30" t="s">
        <v>275</v>
      </c>
      <c r="G13" s="30" t="s">
        <v>276</v>
      </c>
      <c r="H13" s="30" t="s">
        <v>218</v>
      </c>
      <c r="I13" s="30" t="s">
        <v>219</v>
      </c>
      <c r="J13" s="30" t="s">
        <v>220</v>
      </c>
      <c r="K13" s="30" t="s">
        <v>277</v>
      </c>
      <c r="L13" s="30" t="s">
        <v>222</v>
      </c>
      <c r="M13" s="30" t="s">
        <v>223</v>
      </c>
      <c r="N13" s="30" t="s">
        <v>278</v>
      </c>
      <c r="O13" s="31" t="s">
        <v>225</v>
      </c>
    </row>
    <row r="14" spans="1:15" ht="68">
      <c r="A14" s="26" t="s">
        <v>226</v>
      </c>
      <c r="B14" s="27" t="s">
        <v>37</v>
      </c>
      <c r="C14" s="27" t="s">
        <v>172</v>
      </c>
      <c r="D14" s="27" t="s">
        <v>23</v>
      </c>
      <c r="E14" s="27" t="s">
        <v>279</v>
      </c>
      <c r="F14" s="27" t="s">
        <v>280</v>
      </c>
      <c r="G14" s="27" t="s">
        <v>281</v>
      </c>
      <c r="H14" s="27" t="s">
        <v>228</v>
      </c>
      <c r="I14" s="27" t="s">
        <v>219</v>
      </c>
      <c r="J14" s="27" t="s">
        <v>229</v>
      </c>
      <c r="K14" s="27" t="s">
        <v>230</v>
      </c>
      <c r="L14" s="27" t="s">
        <v>282</v>
      </c>
      <c r="M14" s="27" t="s">
        <v>232</v>
      </c>
      <c r="N14" s="27" t="s">
        <v>283</v>
      </c>
      <c r="O14" s="28" t="s">
        <v>234</v>
      </c>
    </row>
    <row r="15" spans="1:15" ht="68">
      <c r="A15" s="32" t="s">
        <v>236</v>
      </c>
      <c r="B15" s="33" t="s">
        <v>40</v>
      </c>
      <c r="C15" s="33" t="s">
        <v>63</v>
      </c>
      <c r="D15" s="33" t="s">
        <v>23</v>
      </c>
      <c r="E15" s="33" t="s">
        <v>284</v>
      </c>
      <c r="F15" s="33" t="s">
        <v>285</v>
      </c>
      <c r="G15" s="33" t="s">
        <v>237</v>
      </c>
      <c r="H15" s="33" t="s">
        <v>238</v>
      </c>
      <c r="I15" s="33" t="s">
        <v>83</v>
      </c>
      <c r="J15" s="33" t="s">
        <v>239</v>
      </c>
      <c r="K15" s="33" t="s">
        <v>240</v>
      </c>
      <c r="L15" s="33" t="s">
        <v>241</v>
      </c>
      <c r="M15" s="33" t="s">
        <v>242</v>
      </c>
      <c r="N15" s="33" t="s">
        <v>286</v>
      </c>
      <c r="O15" s="34" t="s">
        <v>244</v>
      </c>
    </row>
    <row r="16" spans="1:15" ht="51">
      <c r="A16" s="82" t="s">
        <v>287</v>
      </c>
      <c r="B16" s="83" t="s">
        <v>38</v>
      </c>
      <c r="C16" s="83" t="s">
        <v>63</v>
      </c>
      <c r="D16" s="83" t="s">
        <v>23</v>
      </c>
      <c r="E16" s="83" t="s">
        <v>288</v>
      </c>
      <c r="F16" s="83" t="s">
        <v>289</v>
      </c>
      <c r="G16" s="83" t="s">
        <v>290</v>
      </c>
      <c r="H16" s="83" t="s">
        <v>291</v>
      </c>
      <c r="I16" s="83" t="s">
        <v>292</v>
      </c>
      <c r="J16" s="83" t="s">
        <v>293</v>
      </c>
      <c r="K16" s="83" t="s">
        <v>294</v>
      </c>
      <c r="L16" s="83" t="s">
        <v>295</v>
      </c>
      <c r="M16" s="83" t="s">
        <v>296</v>
      </c>
      <c r="N16" s="85"/>
      <c r="O16" s="84" t="s">
        <v>297</v>
      </c>
    </row>
    <row r="17" spans="1:15" ht="68">
      <c r="A17" s="86" t="s">
        <v>298</v>
      </c>
      <c r="B17" s="33" t="s">
        <v>41</v>
      </c>
      <c r="C17" s="33" t="s">
        <v>63</v>
      </c>
      <c r="D17" s="33" t="s">
        <v>23</v>
      </c>
      <c r="E17" s="33" t="s">
        <v>299</v>
      </c>
      <c r="F17" s="33" t="s">
        <v>300</v>
      </c>
      <c r="G17" s="33" t="s">
        <v>301</v>
      </c>
      <c r="H17" s="33" t="s">
        <v>302</v>
      </c>
      <c r="I17" s="33" t="s">
        <v>303</v>
      </c>
      <c r="J17" s="33" t="s">
        <v>304</v>
      </c>
      <c r="K17" s="33" t="s">
        <v>305</v>
      </c>
      <c r="L17" s="33" t="s">
        <v>306</v>
      </c>
      <c r="M17" s="33" t="s">
        <v>307</v>
      </c>
      <c r="N17" s="87"/>
      <c r="O17" s="34" t="s">
        <v>308</v>
      </c>
    </row>
    <row r="18" spans="1:15" ht="68">
      <c r="A18" s="88" t="s">
        <v>309</v>
      </c>
      <c r="B18" s="89" t="s">
        <v>37</v>
      </c>
      <c r="C18" s="89" t="s">
        <v>63</v>
      </c>
      <c r="D18" s="89" t="s">
        <v>23</v>
      </c>
      <c r="E18" s="89" t="s">
        <v>310</v>
      </c>
      <c r="F18" s="89" t="s">
        <v>311</v>
      </c>
      <c r="G18" s="89" t="s">
        <v>312</v>
      </c>
      <c r="H18" s="89" t="s">
        <v>313</v>
      </c>
      <c r="I18" s="89" t="s">
        <v>314</v>
      </c>
      <c r="J18" s="89" t="s">
        <v>315</v>
      </c>
      <c r="K18" s="89" t="s">
        <v>316</v>
      </c>
      <c r="L18" s="89" t="s">
        <v>317</v>
      </c>
      <c r="M18" s="89" t="s">
        <v>318</v>
      </c>
      <c r="N18" s="90"/>
      <c r="O18" s="91" t="s">
        <v>319</v>
      </c>
    </row>
    <row r="19" spans="1:15" ht="51">
      <c r="A19" s="86" t="s">
        <v>320</v>
      </c>
      <c r="B19" s="33" t="s">
        <v>37</v>
      </c>
      <c r="C19" s="33" t="s">
        <v>98</v>
      </c>
      <c r="D19" s="33" t="s">
        <v>23</v>
      </c>
      <c r="E19" s="33" t="s">
        <v>321</v>
      </c>
      <c r="F19" s="33" t="s">
        <v>322</v>
      </c>
      <c r="G19" s="33" t="s">
        <v>323</v>
      </c>
      <c r="H19" s="33" t="s">
        <v>324</v>
      </c>
      <c r="I19" s="33" t="s">
        <v>75</v>
      </c>
      <c r="J19" s="33" t="s">
        <v>325</v>
      </c>
      <c r="K19" s="33" t="s">
        <v>326</v>
      </c>
      <c r="L19" s="33" t="s">
        <v>327</v>
      </c>
      <c r="M19" s="33" t="s">
        <v>328</v>
      </c>
      <c r="N19" s="87"/>
      <c r="O19" s="34" t="s">
        <v>329</v>
      </c>
    </row>
    <row r="20" spans="1:15" ht="68">
      <c r="A20" s="88" t="s">
        <v>330</v>
      </c>
      <c r="B20" s="89" t="s">
        <v>37</v>
      </c>
      <c r="C20" s="89" t="s">
        <v>98</v>
      </c>
      <c r="D20" s="89" t="s">
        <v>23</v>
      </c>
      <c r="E20" s="89" t="s">
        <v>331</v>
      </c>
      <c r="F20" s="89" t="s">
        <v>332</v>
      </c>
      <c r="G20" s="89" t="s">
        <v>333</v>
      </c>
      <c r="H20" s="89" t="s">
        <v>334</v>
      </c>
      <c r="I20" s="89" t="s">
        <v>75</v>
      </c>
      <c r="J20" s="89" t="s">
        <v>335</v>
      </c>
      <c r="K20" s="89" t="s">
        <v>336</v>
      </c>
      <c r="L20" s="89" t="s">
        <v>337</v>
      </c>
      <c r="M20" s="89" t="s">
        <v>338</v>
      </c>
      <c r="N20" s="90"/>
      <c r="O20" s="91" t="s">
        <v>339</v>
      </c>
    </row>
    <row r="21" spans="1:15" ht="68">
      <c r="A21" s="115" t="s">
        <v>340</v>
      </c>
      <c r="B21" s="33" t="s">
        <v>38</v>
      </c>
      <c r="C21" s="33" t="s">
        <v>63</v>
      </c>
      <c r="D21" s="33" t="s">
        <v>23</v>
      </c>
      <c r="E21" s="33" t="s">
        <v>341</v>
      </c>
      <c r="F21" s="33" t="s">
        <v>342</v>
      </c>
      <c r="G21" s="33" t="s">
        <v>343</v>
      </c>
      <c r="H21" s="33" t="s">
        <v>344</v>
      </c>
      <c r="I21" s="33" t="s">
        <v>345</v>
      </c>
      <c r="J21" s="33" t="s">
        <v>346</v>
      </c>
      <c r="K21" s="33" t="s">
        <v>347</v>
      </c>
      <c r="L21" s="33" t="s">
        <v>348</v>
      </c>
      <c r="M21" s="33" t="s">
        <v>349</v>
      </c>
      <c r="N21" s="87"/>
      <c r="O21" s="34" t="s">
        <v>350</v>
      </c>
    </row>
    <row r="22" spans="1:15" ht="68">
      <c r="A22" s="98" t="s">
        <v>351</v>
      </c>
      <c r="B22" s="89" t="s">
        <v>38</v>
      </c>
      <c r="C22" s="89" t="s">
        <v>63</v>
      </c>
      <c r="D22" s="89" t="s">
        <v>23</v>
      </c>
      <c r="E22" s="89" t="s">
        <v>352</v>
      </c>
      <c r="F22" s="89" t="s">
        <v>353</v>
      </c>
      <c r="G22" s="89" t="s">
        <v>354</v>
      </c>
      <c r="H22" s="89" t="s">
        <v>355</v>
      </c>
      <c r="I22" s="89" t="s">
        <v>356</v>
      </c>
      <c r="J22" s="89" t="s">
        <v>357</v>
      </c>
      <c r="K22" s="89" t="s">
        <v>358</v>
      </c>
      <c r="L22" s="89" t="s">
        <v>359</v>
      </c>
      <c r="M22" s="89" t="s">
        <v>360</v>
      </c>
      <c r="N22" s="90"/>
      <c r="O22" s="91" t="s">
        <v>361</v>
      </c>
    </row>
    <row r="23" spans="1:15" ht="68">
      <c r="A23" s="115" t="s">
        <v>362</v>
      </c>
      <c r="B23" s="33" t="s">
        <v>38</v>
      </c>
      <c r="C23" s="33" t="s">
        <v>63</v>
      </c>
      <c r="D23" s="33" t="s">
        <v>23</v>
      </c>
      <c r="E23" s="33" t="s">
        <v>363</v>
      </c>
      <c r="F23" s="33" t="s">
        <v>364</v>
      </c>
      <c r="G23" s="33" t="s">
        <v>365</v>
      </c>
      <c r="H23" s="33" t="s">
        <v>366</v>
      </c>
      <c r="I23" s="33" t="s">
        <v>367</v>
      </c>
      <c r="J23" s="33" t="s">
        <v>368</v>
      </c>
      <c r="K23" s="33" t="s">
        <v>369</v>
      </c>
      <c r="L23" s="33" t="s">
        <v>370</v>
      </c>
      <c r="M23" s="33" t="s">
        <v>371</v>
      </c>
      <c r="N23" s="87"/>
      <c r="O23" s="34" t="s">
        <v>372</v>
      </c>
    </row>
    <row r="24" spans="1:15" ht="85">
      <c r="A24" s="98" t="s">
        <v>373</v>
      </c>
      <c r="B24" s="89" t="s">
        <v>38</v>
      </c>
      <c r="C24" s="89" t="s">
        <v>98</v>
      </c>
      <c r="D24" s="89" t="s">
        <v>23</v>
      </c>
      <c r="E24" s="89" t="s">
        <v>374</v>
      </c>
      <c r="F24" s="89" t="s">
        <v>375</v>
      </c>
      <c r="G24" s="89" t="s">
        <v>376</v>
      </c>
      <c r="H24" s="89" t="s">
        <v>377</v>
      </c>
      <c r="I24" s="89" t="s">
        <v>378</v>
      </c>
      <c r="J24" s="89" t="s">
        <v>379</v>
      </c>
      <c r="K24" s="89" t="s">
        <v>380</v>
      </c>
      <c r="L24" s="89" t="s">
        <v>381</v>
      </c>
      <c r="M24" s="89" t="s">
        <v>382</v>
      </c>
      <c r="N24" s="90"/>
      <c r="O24" s="91" t="s">
        <v>383</v>
      </c>
    </row>
    <row r="25" spans="1:15" ht="85">
      <c r="A25" s="115" t="s">
        <v>384</v>
      </c>
      <c r="B25" s="33" t="s">
        <v>38</v>
      </c>
      <c r="C25" s="33" t="s">
        <v>172</v>
      </c>
      <c r="D25" s="33" t="s">
        <v>23</v>
      </c>
      <c r="E25" s="33" t="s">
        <v>385</v>
      </c>
      <c r="F25" s="33" t="s">
        <v>386</v>
      </c>
      <c r="G25" s="33" t="s">
        <v>387</v>
      </c>
      <c r="H25" s="33" t="s">
        <v>388</v>
      </c>
      <c r="I25" s="33" t="s">
        <v>389</v>
      </c>
      <c r="J25" s="33" t="s">
        <v>390</v>
      </c>
      <c r="K25" s="33" t="s">
        <v>391</v>
      </c>
      <c r="L25" s="33" t="s">
        <v>392</v>
      </c>
      <c r="M25" s="33" t="s">
        <v>393</v>
      </c>
      <c r="N25" s="87"/>
      <c r="O25" s="34" t="s">
        <v>394</v>
      </c>
    </row>
    <row r="26" spans="1:15" ht="85">
      <c r="A26" s="98" t="s">
        <v>395</v>
      </c>
      <c r="B26" s="89" t="s">
        <v>38</v>
      </c>
      <c r="C26" s="89" t="s">
        <v>172</v>
      </c>
      <c r="D26" s="89" t="s">
        <v>23</v>
      </c>
      <c r="E26" s="89" t="s">
        <v>396</v>
      </c>
      <c r="F26" s="89" t="s">
        <v>397</v>
      </c>
      <c r="G26" s="89" t="s">
        <v>398</v>
      </c>
      <c r="H26" s="89" t="s">
        <v>399</v>
      </c>
      <c r="I26" s="89" t="s">
        <v>400</v>
      </c>
      <c r="J26" s="89" t="s">
        <v>401</v>
      </c>
      <c r="K26" s="89" t="s">
        <v>402</v>
      </c>
      <c r="L26" s="89" t="s">
        <v>403</v>
      </c>
      <c r="M26" s="89" t="s">
        <v>404</v>
      </c>
      <c r="N26" s="90"/>
      <c r="O26" s="91" t="s">
        <v>405</v>
      </c>
    </row>
    <row r="27" spans="1:15" ht="85">
      <c r="A27" s="115" t="s">
        <v>406</v>
      </c>
      <c r="B27" s="33" t="s">
        <v>38</v>
      </c>
      <c r="C27" s="33" t="s">
        <v>98</v>
      </c>
      <c r="D27" s="33" t="s">
        <v>23</v>
      </c>
      <c r="E27" s="33" t="s">
        <v>407</v>
      </c>
      <c r="F27" s="33" t="s">
        <v>408</v>
      </c>
      <c r="G27" s="33" t="s">
        <v>409</v>
      </c>
      <c r="H27" s="33" t="s">
        <v>410</v>
      </c>
      <c r="I27" s="33" t="s">
        <v>411</v>
      </c>
      <c r="J27" s="33" t="s">
        <v>412</v>
      </c>
      <c r="K27" s="33" t="s">
        <v>413</v>
      </c>
      <c r="L27" s="33" t="s">
        <v>414</v>
      </c>
      <c r="M27" s="33" t="s">
        <v>415</v>
      </c>
      <c r="N27" s="87"/>
      <c r="O27" s="34" t="s">
        <v>416</v>
      </c>
    </row>
    <row r="28" spans="1:15" ht="85">
      <c r="A28" s="100" t="s">
        <v>417</v>
      </c>
      <c r="B28" s="92" t="s">
        <v>38</v>
      </c>
      <c r="C28" s="92" t="s">
        <v>98</v>
      </c>
      <c r="D28" s="92" t="s">
        <v>23</v>
      </c>
      <c r="E28" s="92" t="s">
        <v>418</v>
      </c>
      <c r="F28" s="92" t="s">
        <v>419</v>
      </c>
      <c r="G28" s="92" t="s">
        <v>420</v>
      </c>
      <c r="H28" s="92" t="s">
        <v>421</v>
      </c>
      <c r="I28" s="92" t="s">
        <v>422</v>
      </c>
      <c r="J28" s="92" t="s">
        <v>423</v>
      </c>
      <c r="K28" s="92" t="s">
        <v>424</v>
      </c>
      <c r="L28" s="92" t="s">
        <v>425</v>
      </c>
      <c r="M28" s="92" t="s">
        <v>426</v>
      </c>
      <c r="N28" s="93"/>
      <c r="O28" s="94" t="s">
        <v>427</v>
      </c>
    </row>
  </sheetData>
  <dataValidations count="3">
    <dataValidation type="list" allowBlank="1" showInputMessage="1" showErrorMessage="1" sqref="C2:C100" xr:uid="{00000000-0002-0000-0200-000000000000}">
      <formula1>"High,Medium-High,Medium,Low"</formula1>
    </dataValidation>
    <dataValidation type="list" allowBlank="1" showInputMessage="1" showErrorMessage="1" sqref="D2:D100" xr:uid="{00000000-0002-0000-0200-000001000000}">
      <formula1>"Researching,Contacted,In Discussion,Active Partner,On Hold,Not a Fit"</formula1>
    </dataValidation>
    <dataValidation type="list" allowBlank="1" showInputMessage="1" showErrorMessage="1" sqref="B2:B100" xr:uid="{00000000-0002-0000-0200-000002000000}">
      <formula1>"Chamber,Federation,Hub / Public Body,Media,HR Network"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68AE"/>
  </sheetPr>
  <dimension ref="A1:P13"/>
  <sheetViews>
    <sheetView topLeftCell="A9" workbookViewId="0">
      <selection activeCell="A13" sqref="A13:XFD13"/>
    </sheetView>
  </sheetViews>
  <sheetFormatPr baseColWidth="10" defaultColWidth="8.83203125" defaultRowHeight="16"/>
  <cols>
    <col min="1" max="1" width="46.6640625" customWidth="1"/>
    <col min="2" max="2" width="21.6640625" customWidth="1"/>
    <col min="3" max="3" width="25" customWidth="1"/>
    <col min="4" max="4" width="16.6640625" customWidth="1"/>
    <col min="5" max="5" width="18.33203125" customWidth="1"/>
    <col min="6" max="6" width="30" customWidth="1"/>
    <col min="7" max="7" width="41.6640625" customWidth="1"/>
    <col min="8" max="10" width="50" customWidth="1"/>
    <col min="11" max="12" width="41.6640625" customWidth="1"/>
    <col min="13" max="16" width="50" customWidth="1"/>
  </cols>
  <sheetData>
    <row r="1" spans="1:16">
      <c r="A1" s="35" t="s">
        <v>42</v>
      </c>
      <c r="B1" s="36" t="s">
        <v>428</v>
      </c>
      <c r="C1" s="36" t="s">
        <v>245</v>
      </c>
      <c r="D1" s="36" t="s">
        <v>52</v>
      </c>
      <c r="E1" s="36" t="s">
        <v>8</v>
      </c>
      <c r="F1" s="36" t="s">
        <v>246</v>
      </c>
      <c r="G1" s="36" t="s">
        <v>247</v>
      </c>
      <c r="H1" s="36" t="s">
        <v>43</v>
      </c>
      <c r="I1" s="36" t="s">
        <v>44</v>
      </c>
      <c r="J1" s="36" t="s">
        <v>45</v>
      </c>
      <c r="K1" s="36" t="s">
        <v>46</v>
      </c>
      <c r="L1" s="36" t="s">
        <v>47</v>
      </c>
      <c r="M1" s="36" t="s">
        <v>48</v>
      </c>
      <c r="N1" s="36" t="s">
        <v>49</v>
      </c>
      <c r="O1" s="36" t="s">
        <v>50</v>
      </c>
      <c r="P1" s="37" t="s">
        <v>51</v>
      </c>
    </row>
    <row r="2" spans="1:16" ht="51">
      <c r="A2" s="78" t="s">
        <v>99</v>
      </c>
      <c r="B2" s="27" t="s">
        <v>429</v>
      </c>
      <c r="C2" s="27" t="s">
        <v>430</v>
      </c>
      <c r="D2" s="27" t="s">
        <v>63</v>
      </c>
      <c r="E2" s="27" t="s">
        <v>23</v>
      </c>
      <c r="F2" s="27" t="s">
        <v>431</v>
      </c>
      <c r="G2" s="27" t="s">
        <v>432</v>
      </c>
      <c r="H2" s="27" t="s">
        <v>100</v>
      </c>
      <c r="I2" s="27" t="s">
        <v>101</v>
      </c>
      <c r="J2" s="27" t="s">
        <v>102</v>
      </c>
      <c r="K2" s="27" t="s">
        <v>103</v>
      </c>
      <c r="L2" s="27" t="s">
        <v>104</v>
      </c>
      <c r="M2" s="27" t="s">
        <v>105</v>
      </c>
      <c r="N2" s="27" t="s">
        <v>433</v>
      </c>
      <c r="O2" s="27" t="s">
        <v>107</v>
      </c>
      <c r="P2" s="28" t="s">
        <v>108</v>
      </c>
    </row>
    <row r="3" spans="1:16" ht="51">
      <c r="A3" s="79" t="s">
        <v>109</v>
      </c>
      <c r="B3" s="30" t="s">
        <v>434</v>
      </c>
      <c r="C3" s="30" t="s">
        <v>430</v>
      </c>
      <c r="D3" s="30" t="s">
        <v>63</v>
      </c>
      <c r="E3" s="30" t="s">
        <v>23</v>
      </c>
      <c r="F3" s="30" t="s">
        <v>435</v>
      </c>
      <c r="G3" s="30" t="s">
        <v>436</v>
      </c>
      <c r="H3" s="30" t="s">
        <v>110</v>
      </c>
      <c r="I3" s="30" t="s">
        <v>101</v>
      </c>
      <c r="J3" s="30" t="s">
        <v>102</v>
      </c>
      <c r="K3" s="30" t="s">
        <v>111</v>
      </c>
      <c r="L3" s="30" t="s">
        <v>104</v>
      </c>
      <c r="M3" s="30" t="s">
        <v>437</v>
      </c>
      <c r="N3" s="30" t="s">
        <v>433</v>
      </c>
      <c r="O3" s="30" t="s">
        <v>113</v>
      </c>
      <c r="P3" s="31" t="s">
        <v>108</v>
      </c>
    </row>
    <row r="4" spans="1:16" ht="51">
      <c r="A4" s="78" t="s">
        <v>438</v>
      </c>
      <c r="B4" s="27" t="s">
        <v>439</v>
      </c>
      <c r="C4" s="27" t="s">
        <v>440</v>
      </c>
      <c r="D4" s="27" t="s">
        <v>63</v>
      </c>
      <c r="E4" s="27" t="s">
        <v>23</v>
      </c>
      <c r="F4" s="27" t="s">
        <v>441</v>
      </c>
      <c r="G4" s="27" t="s">
        <v>442</v>
      </c>
      <c r="H4" s="27" t="s">
        <v>115</v>
      </c>
      <c r="I4" s="27" t="s">
        <v>116</v>
      </c>
      <c r="J4" s="27" t="s">
        <v>117</v>
      </c>
      <c r="K4" s="27" t="s">
        <v>111</v>
      </c>
      <c r="L4" s="27" t="s">
        <v>104</v>
      </c>
      <c r="M4" s="27" t="s">
        <v>443</v>
      </c>
      <c r="N4" s="27" t="s">
        <v>119</v>
      </c>
      <c r="O4" s="27" t="s">
        <v>120</v>
      </c>
      <c r="P4" s="28" t="s">
        <v>108</v>
      </c>
    </row>
    <row r="5" spans="1:16" ht="51">
      <c r="A5" s="79" t="s">
        <v>444</v>
      </c>
      <c r="B5" s="30" t="s">
        <v>445</v>
      </c>
      <c r="C5" s="30" t="s">
        <v>440</v>
      </c>
      <c r="D5" s="30" t="s">
        <v>98</v>
      </c>
      <c r="E5" s="30" t="s">
        <v>23</v>
      </c>
      <c r="F5" s="30" t="s">
        <v>446</v>
      </c>
      <c r="G5" s="30" t="s">
        <v>447</v>
      </c>
      <c r="H5" s="30" t="s">
        <v>122</v>
      </c>
      <c r="I5" s="30" t="s">
        <v>123</v>
      </c>
      <c r="J5" s="30" t="s">
        <v>124</v>
      </c>
      <c r="K5" s="30" t="s">
        <v>111</v>
      </c>
      <c r="L5" s="30" t="s">
        <v>104</v>
      </c>
      <c r="M5" s="30" t="s">
        <v>443</v>
      </c>
      <c r="N5" s="30" t="s">
        <v>125</v>
      </c>
      <c r="O5" s="30" t="s">
        <v>126</v>
      </c>
      <c r="P5" s="31" t="s">
        <v>108</v>
      </c>
    </row>
    <row r="6" spans="1:16" ht="51">
      <c r="A6" s="78" t="s">
        <v>448</v>
      </c>
      <c r="B6" s="27" t="s">
        <v>449</v>
      </c>
      <c r="C6" s="27" t="s">
        <v>440</v>
      </c>
      <c r="D6" s="27" t="s">
        <v>98</v>
      </c>
      <c r="E6" s="27" t="s">
        <v>23</v>
      </c>
      <c r="F6" s="27" t="s">
        <v>450</v>
      </c>
      <c r="G6" s="27" t="s">
        <v>451</v>
      </c>
      <c r="H6" s="27" t="s">
        <v>128</v>
      </c>
      <c r="I6" s="27" t="s">
        <v>129</v>
      </c>
      <c r="J6" s="27" t="s">
        <v>130</v>
      </c>
      <c r="K6" s="27" t="s">
        <v>111</v>
      </c>
      <c r="L6" s="27" t="s">
        <v>452</v>
      </c>
      <c r="M6" s="27" t="s">
        <v>443</v>
      </c>
      <c r="N6" s="27" t="s">
        <v>132</v>
      </c>
      <c r="O6" s="27" t="s">
        <v>133</v>
      </c>
      <c r="P6" s="28" t="s">
        <v>108</v>
      </c>
    </row>
    <row r="7" spans="1:16" ht="51">
      <c r="A7" s="29" t="s">
        <v>134</v>
      </c>
      <c r="B7" s="30" t="s">
        <v>453</v>
      </c>
      <c r="C7" s="30" t="s">
        <v>440</v>
      </c>
      <c r="D7" s="30" t="s">
        <v>63</v>
      </c>
      <c r="E7" s="30" t="s">
        <v>23</v>
      </c>
      <c r="F7" s="30" t="s">
        <v>454</v>
      </c>
      <c r="G7" s="30" t="s">
        <v>455</v>
      </c>
      <c r="H7" s="30" t="s">
        <v>135</v>
      </c>
      <c r="I7" s="30" t="s">
        <v>136</v>
      </c>
      <c r="J7" s="30" t="s">
        <v>137</v>
      </c>
      <c r="K7" s="30" t="s">
        <v>111</v>
      </c>
      <c r="L7" s="30" t="s">
        <v>138</v>
      </c>
      <c r="M7" s="30" t="s">
        <v>139</v>
      </c>
      <c r="N7" s="30" t="s">
        <v>140</v>
      </c>
      <c r="O7" s="30" t="s">
        <v>456</v>
      </c>
      <c r="P7" s="31" t="s">
        <v>108</v>
      </c>
    </row>
    <row r="8" spans="1:16" ht="68">
      <c r="A8" s="26" t="s">
        <v>142</v>
      </c>
      <c r="B8" s="27" t="s">
        <v>457</v>
      </c>
      <c r="C8" s="27" t="s">
        <v>440</v>
      </c>
      <c r="D8" s="27" t="s">
        <v>63</v>
      </c>
      <c r="E8" s="27" t="s">
        <v>23</v>
      </c>
      <c r="F8" s="27" t="s">
        <v>458</v>
      </c>
      <c r="G8" s="27" t="s">
        <v>459</v>
      </c>
      <c r="H8" s="27" t="s">
        <v>143</v>
      </c>
      <c r="I8" s="27" t="s">
        <v>144</v>
      </c>
      <c r="J8" s="27" t="s">
        <v>145</v>
      </c>
      <c r="K8" s="27" t="s">
        <v>111</v>
      </c>
      <c r="L8" s="27" t="s">
        <v>460</v>
      </c>
      <c r="M8" s="27" t="s">
        <v>443</v>
      </c>
      <c r="N8" s="27" t="s">
        <v>147</v>
      </c>
      <c r="O8" s="27" t="s">
        <v>461</v>
      </c>
      <c r="P8" s="28" t="s">
        <v>108</v>
      </c>
    </row>
    <row r="9" spans="1:16" ht="68">
      <c r="A9" s="29" t="s">
        <v>149</v>
      </c>
      <c r="B9" s="30" t="s">
        <v>462</v>
      </c>
      <c r="C9" s="30" t="s">
        <v>440</v>
      </c>
      <c r="D9" s="30" t="s">
        <v>463</v>
      </c>
      <c r="E9" s="30" t="s">
        <v>23</v>
      </c>
      <c r="F9" s="30" t="s">
        <v>464</v>
      </c>
      <c r="G9" s="30" t="s">
        <v>465</v>
      </c>
      <c r="H9" s="30" t="s">
        <v>150</v>
      </c>
      <c r="I9" s="30" t="s">
        <v>151</v>
      </c>
      <c r="J9" s="30" t="s">
        <v>152</v>
      </c>
      <c r="K9" s="30" t="s">
        <v>111</v>
      </c>
      <c r="L9" s="30" t="s">
        <v>153</v>
      </c>
      <c r="M9" s="30" t="s">
        <v>443</v>
      </c>
      <c r="N9" s="30" t="s">
        <v>154</v>
      </c>
      <c r="O9" s="30"/>
      <c r="P9" s="31" t="s">
        <v>108</v>
      </c>
    </row>
    <row r="10" spans="1:16" ht="68">
      <c r="A10" s="38" t="s">
        <v>156</v>
      </c>
      <c r="B10" s="39" t="s">
        <v>466</v>
      </c>
      <c r="C10" s="39" t="s">
        <v>440</v>
      </c>
      <c r="D10" s="39" t="s">
        <v>63</v>
      </c>
      <c r="E10" s="39" t="s">
        <v>23</v>
      </c>
      <c r="F10" s="39" t="s">
        <v>467</v>
      </c>
      <c r="G10" s="39" t="s">
        <v>468</v>
      </c>
      <c r="H10" s="39" t="s">
        <v>143</v>
      </c>
      <c r="I10" s="39" t="s">
        <v>157</v>
      </c>
      <c r="J10" s="39" t="s">
        <v>158</v>
      </c>
      <c r="K10" s="39" t="s">
        <v>111</v>
      </c>
      <c r="L10" s="39" t="s">
        <v>469</v>
      </c>
      <c r="M10" s="39" t="s">
        <v>443</v>
      </c>
      <c r="N10" s="39" t="s">
        <v>160</v>
      </c>
      <c r="O10" s="80" t="s">
        <v>161</v>
      </c>
      <c r="P10" s="40" t="s">
        <v>108</v>
      </c>
    </row>
    <row r="11" spans="1:16" ht="68">
      <c r="A11" s="81" t="s">
        <v>470</v>
      </c>
      <c r="B11" s="95" t="s">
        <v>471</v>
      </c>
      <c r="C11" s="95" t="s">
        <v>440</v>
      </c>
      <c r="D11" s="95" t="s">
        <v>63</v>
      </c>
      <c r="E11" s="95" t="s">
        <v>23</v>
      </c>
      <c r="F11" s="95" t="s">
        <v>472</v>
      </c>
      <c r="G11" s="95" t="s">
        <v>473</v>
      </c>
      <c r="H11" s="95" t="s">
        <v>474</v>
      </c>
      <c r="I11" s="95" t="s">
        <v>475</v>
      </c>
      <c r="J11" s="95" t="s">
        <v>476</v>
      </c>
      <c r="K11" s="95" t="s">
        <v>477</v>
      </c>
      <c r="L11" s="95" t="s">
        <v>478</v>
      </c>
      <c r="M11" s="95" t="s">
        <v>479</v>
      </c>
      <c r="N11" s="95" t="s">
        <v>480</v>
      </c>
      <c r="O11" s="97"/>
      <c r="P11" s="96" t="s">
        <v>481</v>
      </c>
    </row>
    <row r="12" spans="1:16">
      <c r="A12" s="98" t="s">
        <v>482</v>
      </c>
      <c r="B12" s="90" t="s">
        <v>483</v>
      </c>
      <c r="C12" s="90" t="s">
        <v>440</v>
      </c>
      <c r="D12" s="90" t="s">
        <v>63</v>
      </c>
      <c r="E12" s="90" t="s">
        <v>23</v>
      </c>
      <c r="F12" s="90" t="s">
        <v>484</v>
      </c>
      <c r="G12" s="90" t="s">
        <v>485</v>
      </c>
      <c r="H12" s="90" t="s">
        <v>486</v>
      </c>
      <c r="I12" s="90" t="s">
        <v>487</v>
      </c>
      <c r="J12" s="90" t="s">
        <v>488</v>
      </c>
      <c r="K12" s="90" t="s">
        <v>489</v>
      </c>
      <c r="L12" s="90" t="s">
        <v>490</v>
      </c>
      <c r="M12" s="90" t="s">
        <v>491</v>
      </c>
      <c r="N12" s="90" t="s">
        <v>492</v>
      </c>
      <c r="O12" s="90"/>
      <c r="P12" s="99" t="s">
        <v>493</v>
      </c>
    </row>
    <row r="13" spans="1:16">
      <c r="A13" s="100" t="s">
        <v>494</v>
      </c>
      <c r="B13" s="93" t="s">
        <v>495</v>
      </c>
      <c r="C13" s="93" t="s">
        <v>440</v>
      </c>
      <c r="D13" s="93" t="s">
        <v>98</v>
      </c>
      <c r="E13" s="93" t="s">
        <v>23</v>
      </c>
      <c r="F13" s="93" t="s">
        <v>496</v>
      </c>
      <c r="G13" s="93" t="s">
        <v>497</v>
      </c>
      <c r="H13" s="93" t="s">
        <v>498</v>
      </c>
      <c r="I13" s="93" t="s">
        <v>499</v>
      </c>
      <c r="J13" s="93" t="s">
        <v>500</v>
      </c>
      <c r="K13" s="93" t="s">
        <v>501</v>
      </c>
      <c r="L13" s="93" t="s">
        <v>502</v>
      </c>
      <c r="M13" s="93" t="s">
        <v>503</v>
      </c>
      <c r="N13" s="93" t="s">
        <v>504</v>
      </c>
      <c r="O13" s="93"/>
      <c r="P13" s="101" t="s">
        <v>505</v>
      </c>
    </row>
  </sheetData>
  <dataValidations count="4">
    <dataValidation type="list" allowBlank="1" showInputMessage="1" showErrorMessage="1" sqref="C2:C99" xr:uid="{00000000-0002-0000-0300-000000000000}">
      <formula1>"Country Community,Country Association"</formula1>
    </dataValidation>
    <dataValidation type="list" allowBlank="1" showInputMessage="1" showErrorMessage="1" sqref="D2:D99" xr:uid="{00000000-0002-0000-0300-000001000000}">
      <formula1>"High,Medium-High,Medium,Low"</formula1>
    </dataValidation>
    <dataValidation type="list" allowBlank="1" showInputMessage="1" showErrorMessage="1" sqref="E2:E99" xr:uid="{00000000-0002-0000-0300-000002000000}">
      <formula1>"Researching,Contacted,In Discussion,Active Partner,On Hold,Not a Fit"</formula1>
    </dataValidation>
    <dataValidation type="list" allowBlank="1" showInputMessage="1" showErrorMessage="1" sqref="B2:B99" xr:uid="{00000000-0002-0000-0300-000003000000}">
      <formula1>"PT,FR,IT,BE,DE,ES,CH,PL,US / EN-speaking,UK / EN-speaking"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05A3A"/>
  </sheetPr>
  <dimension ref="A1:P7"/>
  <sheetViews>
    <sheetView workbookViewId="0"/>
  </sheetViews>
  <sheetFormatPr baseColWidth="10" defaultColWidth="8.83203125" defaultRowHeight="16"/>
  <cols>
    <col min="1" max="1" width="46.6640625" customWidth="1"/>
    <col min="2" max="2" width="16.6640625" customWidth="1"/>
    <col min="3" max="3" width="25" customWidth="1"/>
    <col min="4" max="4" width="16.6640625" customWidth="1"/>
    <col min="5" max="5" width="18.33203125" customWidth="1"/>
    <col min="6" max="6" width="30" customWidth="1"/>
    <col min="7" max="7" width="41.6640625" customWidth="1"/>
    <col min="8" max="10" width="50" customWidth="1"/>
    <col min="11" max="12" width="41.6640625" customWidth="1"/>
    <col min="13" max="16" width="50" customWidth="1"/>
  </cols>
  <sheetData>
    <row r="1" spans="1:16">
      <c r="A1" s="41" t="s">
        <v>42</v>
      </c>
      <c r="B1" s="42" t="s">
        <v>506</v>
      </c>
      <c r="C1" s="42" t="s">
        <v>245</v>
      </c>
      <c r="D1" s="42" t="s">
        <v>52</v>
      </c>
      <c r="E1" s="42" t="s">
        <v>8</v>
      </c>
      <c r="F1" s="42" t="s">
        <v>246</v>
      </c>
      <c r="G1" s="42" t="s">
        <v>247</v>
      </c>
      <c r="H1" s="42" t="s">
        <v>43</v>
      </c>
      <c r="I1" s="42" t="s">
        <v>44</v>
      </c>
      <c r="J1" s="42" t="s">
        <v>45</v>
      </c>
      <c r="K1" s="42" t="s">
        <v>46</v>
      </c>
      <c r="L1" s="42" t="s">
        <v>47</v>
      </c>
      <c r="M1" s="42" t="s">
        <v>48</v>
      </c>
      <c r="N1" s="42" t="s">
        <v>49</v>
      </c>
      <c r="O1" s="42" t="s">
        <v>50</v>
      </c>
      <c r="P1" s="43" t="s">
        <v>51</v>
      </c>
    </row>
    <row r="2" spans="1:16" ht="17">
      <c r="A2" s="44"/>
      <c r="B2" s="45" t="s">
        <v>457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</row>
    <row r="3" spans="1:16" ht="17">
      <c r="A3" s="47"/>
      <c r="B3" s="48" t="s">
        <v>453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1:16" ht="17">
      <c r="A4" s="44"/>
      <c r="B4" s="45" t="s">
        <v>439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</row>
    <row r="5" spans="1:16" ht="17">
      <c r="A5" s="47"/>
      <c r="B5" s="48" t="s">
        <v>466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9"/>
    </row>
    <row r="6" spans="1:16" ht="17">
      <c r="A6" s="44"/>
      <c r="B6" s="45" t="s">
        <v>471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</row>
    <row r="7" spans="1:16" ht="17">
      <c r="A7" s="50"/>
      <c r="B7" s="51" t="s">
        <v>449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2"/>
    </row>
  </sheetData>
  <dataValidations count="4">
    <dataValidation type="list" allowBlank="1" showInputMessage="1" showErrorMessage="1" sqref="B2:B100" xr:uid="{00000000-0002-0000-0400-000000000000}">
      <formula1>"FR,IT,PT,BE,DE,ES"</formula1>
    </dataValidation>
    <dataValidation type="list" allowBlank="1" showInputMessage="1" showErrorMessage="1" sqref="C2:C100" xr:uid="{00000000-0002-0000-0400-000001000000}">
      <formula1>"Government Agency,Trade Body,Chamber Abroad,Employer Org,Service Provider,Other"</formula1>
    </dataValidation>
    <dataValidation type="list" allowBlank="1" showInputMessage="1" showErrorMessage="1" sqref="D2:D100" xr:uid="{00000000-0002-0000-0400-000002000000}">
      <formula1>"High,Medium-High,Medium,Low"</formula1>
    </dataValidation>
    <dataValidation type="list" allowBlank="1" showInputMessage="1" showErrorMessage="1" sqref="E2:E100" xr:uid="{00000000-0002-0000-0400-000003000000}">
      <formula1>"Researching,Contacted,In Discussion,Active Partner,On Hold,Not a Fit"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6"/>
  <sheetViews>
    <sheetView tabSelected="1" topLeftCell="A35" workbookViewId="0">
      <selection activeCell="L35" sqref="L35"/>
    </sheetView>
  </sheetViews>
  <sheetFormatPr baseColWidth="10" defaultColWidth="8.83203125" defaultRowHeight="16"/>
  <cols>
    <col min="1" max="1" width="8" style="122" customWidth="1"/>
    <col min="2" max="2" width="28" style="122" customWidth="1"/>
    <col min="3" max="3" width="16" style="122" customWidth="1"/>
    <col min="4" max="4" width="20" style="122" customWidth="1"/>
    <col min="5" max="5" width="18" style="122" customWidth="1"/>
    <col min="6" max="6" width="12" style="122" customWidth="1"/>
    <col min="7" max="7" width="14" style="122" customWidth="1"/>
    <col min="8" max="10" width="10" style="122" customWidth="1"/>
    <col min="11" max="11" width="16" style="122" customWidth="1"/>
    <col min="12" max="12" width="13.6640625" style="122" customWidth="1"/>
    <col min="13" max="13" width="28" style="122" customWidth="1"/>
    <col min="14" max="14" width="22" style="122" customWidth="1"/>
    <col min="15" max="15" width="28" style="122" customWidth="1"/>
    <col min="16" max="17" width="30" style="122" customWidth="1"/>
    <col min="18" max="18" width="18" style="122" customWidth="1"/>
    <col min="19" max="19" width="22" style="122" customWidth="1"/>
    <col min="20" max="20" width="24" style="122" customWidth="1"/>
    <col min="21" max="21" width="22" style="122" customWidth="1"/>
    <col min="22" max="23" width="28" style="122" customWidth="1"/>
    <col min="24" max="24" width="12.1640625" style="122" customWidth="1"/>
    <col min="25" max="25" width="24" style="122" customWidth="1"/>
    <col min="26" max="16384" width="8.83203125" style="122"/>
  </cols>
  <sheetData>
    <row r="1" spans="1:25" ht="91" customHeight="1">
      <c r="A1" s="121" t="s">
        <v>507</v>
      </c>
      <c r="B1" s="121" t="s">
        <v>42</v>
      </c>
      <c r="C1" s="121" t="s">
        <v>508</v>
      </c>
      <c r="D1" s="121" t="s">
        <v>509</v>
      </c>
      <c r="E1" s="121" t="s">
        <v>510</v>
      </c>
      <c r="F1" s="121" t="s">
        <v>511</v>
      </c>
      <c r="G1" s="121" t="s">
        <v>512</v>
      </c>
      <c r="H1" s="121" t="s">
        <v>513</v>
      </c>
      <c r="I1" s="121" t="s">
        <v>514</v>
      </c>
      <c r="J1" s="121" t="s">
        <v>515</v>
      </c>
      <c r="K1" s="121" t="s">
        <v>516</v>
      </c>
      <c r="L1" s="121" t="s">
        <v>517</v>
      </c>
      <c r="M1" s="121" t="s">
        <v>518</v>
      </c>
      <c r="N1" s="121" t="s">
        <v>519</v>
      </c>
      <c r="O1" s="121" t="s">
        <v>45</v>
      </c>
      <c r="P1" s="121" t="s">
        <v>43</v>
      </c>
      <c r="Q1" s="121" t="s">
        <v>44</v>
      </c>
      <c r="R1" s="121" t="s">
        <v>46</v>
      </c>
      <c r="S1" s="121" t="s">
        <v>47</v>
      </c>
      <c r="T1" s="121" t="s">
        <v>48</v>
      </c>
      <c r="U1" s="121" t="s">
        <v>49</v>
      </c>
      <c r="V1" s="121" t="s">
        <v>50</v>
      </c>
      <c r="W1" s="121" t="s">
        <v>246</v>
      </c>
      <c r="X1" s="121" t="s">
        <v>8</v>
      </c>
      <c r="Y1" s="121" t="s">
        <v>51</v>
      </c>
    </row>
    <row r="2" spans="1:25" ht="212.75" hidden="1" customHeight="1">
      <c r="A2" s="123" t="s">
        <v>19</v>
      </c>
      <c r="B2" s="123" t="s">
        <v>89</v>
      </c>
      <c r="C2" s="123" t="s">
        <v>520</v>
      </c>
      <c r="D2" s="123" t="s">
        <v>521</v>
      </c>
      <c r="E2" s="123" t="s">
        <v>37</v>
      </c>
      <c r="F2" s="123" t="s">
        <v>98</v>
      </c>
      <c r="G2" s="125" t="s">
        <v>522</v>
      </c>
      <c r="H2" s="126">
        <v>5</v>
      </c>
      <c r="I2" s="126">
        <v>2</v>
      </c>
      <c r="J2" s="126">
        <v>3</v>
      </c>
      <c r="K2" s="127" t="s">
        <v>523</v>
      </c>
      <c r="L2" s="123" t="s">
        <v>524</v>
      </c>
      <c r="M2" s="123" t="s">
        <v>525</v>
      </c>
      <c r="N2" s="123" t="s">
        <v>526</v>
      </c>
      <c r="O2" s="123" t="s">
        <v>83</v>
      </c>
      <c r="P2" s="123" t="s">
        <v>90</v>
      </c>
      <c r="Q2" s="123" t="s">
        <v>91</v>
      </c>
      <c r="R2" s="123" t="s">
        <v>92</v>
      </c>
      <c r="S2" s="123" t="s">
        <v>93</v>
      </c>
      <c r="T2" s="123" t="s">
        <v>94</v>
      </c>
      <c r="U2" s="123" t="s">
        <v>95</v>
      </c>
      <c r="V2" s="123" t="s">
        <v>259</v>
      </c>
      <c r="W2" s="123" t="s">
        <v>257</v>
      </c>
      <c r="X2" s="123" t="s">
        <v>23</v>
      </c>
      <c r="Y2" s="123" t="s">
        <v>97</v>
      </c>
    </row>
    <row r="3" spans="1:25" ht="303.75" hidden="1" customHeight="1">
      <c r="A3" s="123" t="s">
        <v>19</v>
      </c>
      <c r="B3" s="123" t="s">
        <v>216</v>
      </c>
      <c r="C3" s="123" t="s">
        <v>520</v>
      </c>
      <c r="D3" s="123" t="s">
        <v>527</v>
      </c>
      <c r="E3" s="123" t="s">
        <v>38</v>
      </c>
      <c r="F3" s="123" t="s">
        <v>98</v>
      </c>
      <c r="G3" s="125" t="s">
        <v>522</v>
      </c>
      <c r="H3" s="126">
        <v>4</v>
      </c>
      <c r="I3" s="126">
        <v>3</v>
      </c>
      <c r="J3" s="126">
        <v>2</v>
      </c>
      <c r="K3" s="123" t="s">
        <v>528</v>
      </c>
      <c r="L3" s="123" t="s">
        <v>524</v>
      </c>
      <c r="M3" s="123" t="s">
        <v>529</v>
      </c>
      <c r="N3" s="123" t="s">
        <v>530</v>
      </c>
      <c r="O3" s="123" t="s">
        <v>219</v>
      </c>
      <c r="P3" s="123" t="s">
        <v>276</v>
      </c>
      <c r="Q3" s="123" t="s">
        <v>218</v>
      </c>
      <c r="R3" s="123" t="s">
        <v>220</v>
      </c>
      <c r="S3" s="123" t="s">
        <v>277</v>
      </c>
      <c r="T3" s="123" t="s">
        <v>222</v>
      </c>
      <c r="U3" s="123" t="s">
        <v>223</v>
      </c>
      <c r="V3" s="123" t="s">
        <v>278</v>
      </c>
      <c r="W3" s="123" t="s">
        <v>274</v>
      </c>
      <c r="X3" s="123" t="s">
        <v>23</v>
      </c>
      <c r="Y3" s="123" t="s">
        <v>225</v>
      </c>
    </row>
    <row r="4" spans="1:25" ht="212.75" hidden="1" customHeight="1">
      <c r="A4" s="123" t="s">
        <v>19</v>
      </c>
      <c r="B4" s="123" t="s">
        <v>191</v>
      </c>
      <c r="C4" s="123" t="s">
        <v>520</v>
      </c>
      <c r="D4" s="123" t="s">
        <v>521</v>
      </c>
      <c r="E4" s="123" t="s">
        <v>37</v>
      </c>
      <c r="F4" s="123" t="s">
        <v>98</v>
      </c>
      <c r="G4" s="125" t="s">
        <v>522</v>
      </c>
      <c r="H4" s="126">
        <v>4</v>
      </c>
      <c r="I4" s="126">
        <v>3</v>
      </c>
      <c r="J4" s="126">
        <v>2</v>
      </c>
      <c r="K4" s="123" t="s">
        <v>528</v>
      </c>
      <c r="L4" s="123" t="s">
        <v>524</v>
      </c>
      <c r="M4" s="123" t="s">
        <v>529</v>
      </c>
      <c r="N4" s="123" t="s">
        <v>530</v>
      </c>
      <c r="O4" s="123" t="s">
        <v>176</v>
      </c>
      <c r="P4" s="123" t="s">
        <v>192</v>
      </c>
      <c r="Q4" s="123" t="s">
        <v>193</v>
      </c>
      <c r="R4" s="123" t="s">
        <v>194</v>
      </c>
      <c r="S4" s="123" t="s">
        <v>195</v>
      </c>
      <c r="T4" s="123" t="s">
        <v>196</v>
      </c>
      <c r="U4" s="123" t="s">
        <v>197</v>
      </c>
      <c r="V4" s="123" t="s">
        <v>269</v>
      </c>
      <c r="W4" s="123" t="s">
        <v>267</v>
      </c>
      <c r="X4" s="123" t="s">
        <v>23</v>
      </c>
      <c r="Y4" s="123" t="s">
        <v>199</v>
      </c>
    </row>
    <row r="5" spans="1:25" ht="182.25" hidden="1" customHeight="1">
      <c r="A5" s="128" t="s">
        <v>20</v>
      </c>
      <c r="B5" s="128" t="s">
        <v>444</v>
      </c>
      <c r="C5" s="128" t="s">
        <v>445</v>
      </c>
      <c r="D5" s="128" t="s">
        <v>531</v>
      </c>
      <c r="E5" s="128" t="s">
        <v>440</v>
      </c>
      <c r="F5" s="128" t="s">
        <v>98</v>
      </c>
      <c r="G5" s="128" t="s">
        <v>522</v>
      </c>
      <c r="H5" s="130">
        <v>3</v>
      </c>
      <c r="I5" s="130">
        <v>3</v>
      </c>
      <c r="J5" s="130">
        <v>3</v>
      </c>
      <c r="K5" s="128" t="s">
        <v>546</v>
      </c>
      <c r="L5" s="128" t="s">
        <v>547</v>
      </c>
      <c r="M5" s="128" t="s">
        <v>529</v>
      </c>
      <c r="N5" s="128" t="s">
        <v>530</v>
      </c>
      <c r="O5" s="128" t="s">
        <v>124</v>
      </c>
      <c r="P5" s="128" t="s">
        <v>122</v>
      </c>
      <c r="Q5" s="128" t="s">
        <v>123</v>
      </c>
      <c r="R5" s="128" t="s">
        <v>111</v>
      </c>
      <c r="S5" s="128" t="s">
        <v>104</v>
      </c>
      <c r="T5" s="128" t="s">
        <v>443</v>
      </c>
      <c r="U5" s="128" t="s">
        <v>125</v>
      </c>
      <c r="V5" s="128" t="s">
        <v>126</v>
      </c>
      <c r="W5" s="128" t="s">
        <v>548</v>
      </c>
      <c r="X5" s="128" t="s">
        <v>23</v>
      </c>
      <c r="Y5" s="128" t="s">
        <v>108</v>
      </c>
    </row>
    <row r="6" spans="1:25" ht="182.25" hidden="1" customHeight="1">
      <c r="A6" s="123" t="s">
        <v>19</v>
      </c>
      <c r="B6" s="123" t="s">
        <v>183</v>
      </c>
      <c r="C6" s="123" t="s">
        <v>520</v>
      </c>
      <c r="D6" s="123" t="s">
        <v>527</v>
      </c>
      <c r="E6" s="123" t="s">
        <v>38</v>
      </c>
      <c r="F6" s="123" t="s">
        <v>98</v>
      </c>
      <c r="G6" s="134" t="s">
        <v>532</v>
      </c>
      <c r="H6" s="126">
        <v>4</v>
      </c>
      <c r="I6" s="126">
        <v>3</v>
      </c>
      <c r="J6" s="126">
        <v>2</v>
      </c>
      <c r="K6" s="123" t="s">
        <v>528</v>
      </c>
      <c r="L6" s="123" t="s">
        <v>524</v>
      </c>
      <c r="M6" s="123" t="s">
        <v>529</v>
      </c>
      <c r="N6" s="123" t="s">
        <v>530</v>
      </c>
      <c r="O6" s="123" t="s">
        <v>176</v>
      </c>
      <c r="P6" s="123" t="s">
        <v>184</v>
      </c>
      <c r="Q6" s="123" t="s">
        <v>185</v>
      </c>
      <c r="R6" s="123" t="s">
        <v>186</v>
      </c>
      <c r="S6" s="123" t="s">
        <v>187</v>
      </c>
      <c r="T6" s="123" t="s">
        <v>188</v>
      </c>
      <c r="U6" s="123" t="s">
        <v>189</v>
      </c>
      <c r="V6" s="123"/>
      <c r="W6" s="123" t="s">
        <v>265</v>
      </c>
      <c r="X6" s="123" t="s">
        <v>23</v>
      </c>
      <c r="Y6" s="123" t="s">
        <v>190</v>
      </c>
    </row>
    <row r="7" spans="1:25" ht="243" hidden="1" customHeight="1">
      <c r="A7" s="123" t="s">
        <v>19</v>
      </c>
      <c r="B7" s="123" t="s">
        <v>406</v>
      </c>
      <c r="C7" s="123" t="s">
        <v>520</v>
      </c>
      <c r="D7" s="123" t="s">
        <v>527</v>
      </c>
      <c r="E7" s="123" t="s">
        <v>38</v>
      </c>
      <c r="F7" s="123" t="s">
        <v>98</v>
      </c>
      <c r="G7" s="134" t="s">
        <v>532</v>
      </c>
      <c r="H7" s="126">
        <v>4</v>
      </c>
      <c r="I7" s="126">
        <v>3</v>
      </c>
      <c r="J7" s="126">
        <v>1</v>
      </c>
      <c r="K7" s="123" t="s">
        <v>528</v>
      </c>
      <c r="L7" s="123" t="s">
        <v>524</v>
      </c>
      <c r="M7" s="123" t="s">
        <v>529</v>
      </c>
      <c r="N7" s="123" t="s">
        <v>530</v>
      </c>
      <c r="O7" s="123" t="s">
        <v>411</v>
      </c>
      <c r="P7" s="123" t="s">
        <v>409</v>
      </c>
      <c r="Q7" s="123" t="s">
        <v>410</v>
      </c>
      <c r="R7" s="123" t="s">
        <v>412</v>
      </c>
      <c r="S7" s="123" t="s">
        <v>413</v>
      </c>
      <c r="T7" s="123" t="s">
        <v>414</v>
      </c>
      <c r="U7" s="123" t="s">
        <v>415</v>
      </c>
      <c r="V7" s="123"/>
      <c r="W7" s="123" t="s">
        <v>407</v>
      </c>
      <c r="X7" s="123" t="s">
        <v>23</v>
      </c>
      <c r="Y7" s="123" t="s">
        <v>416</v>
      </c>
    </row>
    <row r="8" spans="1:25" ht="243" hidden="1" customHeight="1">
      <c r="A8" s="123" t="s">
        <v>19</v>
      </c>
      <c r="B8" s="123" t="s">
        <v>417</v>
      </c>
      <c r="C8" s="123" t="s">
        <v>520</v>
      </c>
      <c r="D8" s="123" t="s">
        <v>527</v>
      </c>
      <c r="E8" s="123" t="s">
        <v>38</v>
      </c>
      <c r="F8" s="123" t="s">
        <v>98</v>
      </c>
      <c r="G8" s="134" t="s">
        <v>532</v>
      </c>
      <c r="H8" s="126">
        <v>4</v>
      </c>
      <c r="I8" s="126">
        <v>3</v>
      </c>
      <c r="J8" s="126">
        <v>1</v>
      </c>
      <c r="K8" s="123" t="s">
        <v>528</v>
      </c>
      <c r="L8" s="123" t="s">
        <v>524</v>
      </c>
      <c r="M8" s="123" t="s">
        <v>529</v>
      </c>
      <c r="N8" s="123" t="s">
        <v>530</v>
      </c>
      <c r="O8" s="123" t="s">
        <v>422</v>
      </c>
      <c r="P8" s="123" t="s">
        <v>420</v>
      </c>
      <c r="Q8" s="123" t="s">
        <v>421</v>
      </c>
      <c r="R8" s="123" t="s">
        <v>423</v>
      </c>
      <c r="S8" s="123" t="s">
        <v>424</v>
      </c>
      <c r="T8" s="123" t="s">
        <v>425</v>
      </c>
      <c r="U8" s="123" t="s">
        <v>426</v>
      </c>
      <c r="V8" s="123"/>
      <c r="W8" s="123" t="s">
        <v>418</v>
      </c>
      <c r="X8" s="123" t="s">
        <v>23</v>
      </c>
      <c r="Y8" s="123" t="s">
        <v>427</v>
      </c>
    </row>
    <row r="9" spans="1:25" ht="182.25" hidden="1" customHeight="1">
      <c r="A9" s="123" t="s">
        <v>19</v>
      </c>
      <c r="B9" s="123" t="s">
        <v>330</v>
      </c>
      <c r="C9" s="123" t="s">
        <v>520</v>
      </c>
      <c r="D9" s="123" t="s">
        <v>521</v>
      </c>
      <c r="E9" s="123" t="s">
        <v>37</v>
      </c>
      <c r="F9" s="123" t="s">
        <v>98</v>
      </c>
      <c r="G9" s="134" t="s">
        <v>532</v>
      </c>
      <c r="H9" s="126">
        <v>4</v>
      </c>
      <c r="I9" s="126">
        <v>3</v>
      </c>
      <c r="J9" s="126">
        <v>1</v>
      </c>
      <c r="K9" s="123" t="s">
        <v>528</v>
      </c>
      <c r="L9" s="123" t="s">
        <v>524</v>
      </c>
      <c r="M9" s="123" t="s">
        <v>529</v>
      </c>
      <c r="N9" s="123" t="s">
        <v>530</v>
      </c>
      <c r="O9" s="123" t="s">
        <v>75</v>
      </c>
      <c r="P9" s="123" t="s">
        <v>333</v>
      </c>
      <c r="Q9" s="123" t="s">
        <v>334</v>
      </c>
      <c r="R9" s="123" t="s">
        <v>335</v>
      </c>
      <c r="S9" s="123" t="s">
        <v>336</v>
      </c>
      <c r="T9" s="123" t="s">
        <v>337</v>
      </c>
      <c r="U9" s="123" t="s">
        <v>338</v>
      </c>
      <c r="V9" s="123"/>
      <c r="W9" s="123" t="s">
        <v>331</v>
      </c>
      <c r="X9" s="123" t="s">
        <v>23</v>
      </c>
      <c r="Y9" s="123" t="s">
        <v>339</v>
      </c>
    </row>
    <row r="10" spans="1:25" ht="212.75" hidden="1" customHeight="1">
      <c r="A10" s="123" t="s">
        <v>19</v>
      </c>
      <c r="B10" s="123" t="s">
        <v>373</v>
      </c>
      <c r="C10" s="123" t="s">
        <v>520</v>
      </c>
      <c r="D10" s="123" t="s">
        <v>527</v>
      </c>
      <c r="E10" s="123" t="s">
        <v>38</v>
      </c>
      <c r="F10" s="123" t="s">
        <v>98</v>
      </c>
      <c r="G10" s="134" t="s">
        <v>532</v>
      </c>
      <c r="H10" s="126">
        <v>4</v>
      </c>
      <c r="I10" s="126">
        <v>2</v>
      </c>
      <c r="J10" s="126">
        <v>1</v>
      </c>
      <c r="K10" s="123" t="s">
        <v>528</v>
      </c>
      <c r="L10" s="123" t="s">
        <v>524</v>
      </c>
      <c r="M10" s="123" t="s">
        <v>529</v>
      </c>
      <c r="N10" s="123" t="s">
        <v>530</v>
      </c>
      <c r="O10" s="123" t="s">
        <v>378</v>
      </c>
      <c r="P10" s="123" t="s">
        <v>376</v>
      </c>
      <c r="Q10" s="123" t="s">
        <v>377</v>
      </c>
      <c r="R10" s="123" t="s">
        <v>379</v>
      </c>
      <c r="S10" s="123" t="s">
        <v>380</v>
      </c>
      <c r="T10" s="123" t="s">
        <v>381</v>
      </c>
      <c r="U10" s="123" t="s">
        <v>382</v>
      </c>
      <c r="V10" s="123"/>
      <c r="W10" s="123" t="s">
        <v>374</v>
      </c>
      <c r="X10" s="123" t="s">
        <v>23</v>
      </c>
      <c r="Y10" s="123" t="s">
        <v>383</v>
      </c>
    </row>
    <row r="11" spans="1:25" ht="273.25" hidden="1" customHeight="1">
      <c r="A11" s="128" t="s">
        <v>20</v>
      </c>
      <c r="B11" s="128" t="s">
        <v>494</v>
      </c>
      <c r="C11" s="128" t="s">
        <v>495</v>
      </c>
      <c r="D11" s="128" t="s">
        <v>531</v>
      </c>
      <c r="E11" s="128" t="s">
        <v>440</v>
      </c>
      <c r="F11" s="128" t="s">
        <v>98</v>
      </c>
      <c r="G11" s="128" t="s">
        <v>532</v>
      </c>
      <c r="H11" s="130">
        <v>3</v>
      </c>
      <c r="I11" s="130">
        <v>3</v>
      </c>
      <c r="J11" s="130">
        <v>3</v>
      </c>
      <c r="K11" s="128" t="s">
        <v>546</v>
      </c>
      <c r="L11" s="128" t="s">
        <v>547</v>
      </c>
      <c r="M11" s="128" t="s">
        <v>529</v>
      </c>
      <c r="N11" s="128" t="s">
        <v>530</v>
      </c>
      <c r="O11" s="128" t="s">
        <v>500</v>
      </c>
      <c r="P11" s="128" t="s">
        <v>498</v>
      </c>
      <c r="Q11" s="128" t="s">
        <v>499</v>
      </c>
      <c r="R11" s="128" t="s">
        <v>501</v>
      </c>
      <c r="S11" s="128" t="s">
        <v>502</v>
      </c>
      <c r="T11" s="128" t="s">
        <v>503</v>
      </c>
      <c r="U11" s="128" t="s">
        <v>504</v>
      </c>
      <c r="V11" s="128"/>
      <c r="W11" s="128" t="s">
        <v>549</v>
      </c>
      <c r="X11" s="128" t="s">
        <v>23</v>
      </c>
      <c r="Y11" s="128" t="s">
        <v>505</v>
      </c>
    </row>
    <row r="12" spans="1:25" ht="151.75" hidden="1" customHeight="1">
      <c r="A12" s="123" t="s">
        <v>19</v>
      </c>
      <c r="B12" s="123" t="s">
        <v>320</v>
      </c>
      <c r="C12" s="123" t="s">
        <v>520</v>
      </c>
      <c r="D12" s="123" t="s">
        <v>521</v>
      </c>
      <c r="E12" s="123" t="s">
        <v>37</v>
      </c>
      <c r="F12" s="123" t="s">
        <v>98</v>
      </c>
      <c r="G12" s="134" t="s">
        <v>532</v>
      </c>
      <c r="H12" s="126">
        <v>3</v>
      </c>
      <c r="I12" s="126">
        <v>2</v>
      </c>
      <c r="J12" s="126">
        <v>1</v>
      </c>
      <c r="K12" s="123" t="s">
        <v>528</v>
      </c>
      <c r="L12" s="123" t="s">
        <v>524</v>
      </c>
      <c r="M12" s="123" t="s">
        <v>529</v>
      </c>
      <c r="N12" s="123" t="s">
        <v>530</v>
      </c>
      <c r="O12" s="123" t="s">
        <v>75</v>
      </c>
      <c r="P12" s="123" t="s">
        <v>323</v>
      </c>
      <c r="Q12" s="123" t="s">
        <v>324</v>
      </c>
      <c r="R12" s="123" t="s">
        <v>325</v>
      </c>
      <c r="S12" s="123" t="s">
        <v>326</v>
      </c>
      <c r="T12" s="123" t="s">
        <v>327</v>
      </c>
      <c r="U12" s="123" t="s">
        <v>328</v>
      </c>
      <c r="V12" s="123"/>
      <c r="W12" s="123" t="s">
        <v>321</v>
      </c>
      <c r="X12" s="123" t="s">
        <v>23</v>
      </c>
      <c r="Y12" s="123" t="s">
        <v>329</v>
      </c>
    </row>
    <row r="13" spans="1:25" ht="273.25" customHeight="1">
      <c r="A13" s="123" t="s">
        <v>19</v>
      </c>
      <c r="B13" s="123" t="s">
        <v>250</v>
      </c>
      <c r="C13" s="123" t="s">
        <v>520</v>
      </c>
      <c r="D13" s="123" t="s">
        <v>39</v>
      </c>
      <c r="E13" s="123" t="s">
        <v>39</v>
      </c>
      <c r="F13" s="124" t="s">
        <v>63</v>
      </c>
      <c r="G13" s="125" t="s">
        <v>522</v>
      </c>
      <c r="H13" s="126">
        <v>5</v>
      </c>
      <c r="I13" s="126">
        <v>4</v>
      </c>
      <c r="J13" s="126">
        <v>3</v>
      </c>
      <c r="K13" s="127" t="s">
        <v>523</v>
      </c>
      <c r="L13" s="136" t="s">
        <v>557</v>
      </c>
      <c r="M13" s="123" t="s">
        <v>525</v>
      </c>
      <c r="N13" s="123" t="s">
        <v>526</v>
      </c>
      <c r="O13" s="123" t="s">
        <v>56</v>
      </c>
      <c r="P13" s="123" t="s">
        <v>65</v>
      </c>
      <c r="Q13" s="123" t="s">
        <v>66</v>
      </c>
      <c r="R13" s="123" t="s">
        <v>67</v>
      </c>
      <c r="S13" s="123" t="s">
        <v>68</v>
      </c>
      <c r="T13" s="123" t="s">
        <v>69</v>
      </c>
      <c r="U13" s="123" t="s">
        <v>70</v>
      </c>
      <c r="V13" s="123" t="s">
        <v>71</v>
      </c>
      <c r="W13" s="123" t="s">
        <v>251</v>
      </c>
      <c r="X13" s="123" t="s">
        <v>23</v>
      </c>
      <c r="Y13" s="123" t="s">
        <v>72</v>
      </c>
    </row>
    <row r="14" spans="1:25" ht="182.25" customHeight="1">
      <c r="A14" s="123" t="s">
        <v>19</v>
      </c>
      <c r="B14" s="123" t="s">
        <v>53</v>
      </c>
      <c r="C14" s="123" t="s">
        <v>520</v>
      </c>
      <c r="D14" s="123" t="s">
        <v>521</v>
      </c>
      <c r="E14" s="123" t="s">
        <v>37</v>
      </c>
      <c r="F14" s="124" t="s">
        <v>63</v>
      </c>
      <c r="G14" s="133" t="s">
        <v>533</v>
      </c>
      <c r="H14" s="126">
        <v>5</v>
      </c>
      <c r="I14" s="126">
        <v>4</v>
      </c>
      <c r="J14" s="126">
        <v>2</v>
      </c>
      <c r="K14" s="127" t="s">
        <v>523</v>
      </c>
      <c r="L14" s="136" t="s">
        <v>557</v>
      </c>
      <c r="M14" s="123" t="s">
        <v>525</v>
      </c>
      <c r="N14" s="123" t="s">
        <v>526</v>
      </c>
      <c r="O14" s="123" t="s">
        <v>56</v>
      </c>
      <c r="P14" s="123" t="s">
        <v>54</v>
      </c>
      <c r="Q14" s="123" t="s">
        <v>55</v>
      </c>
      <c r="R14" s="123" t="s">
        <v>57</v>
      </c>
      <c r="S14" s="123" t="s">
        <v>58</v>
      </c>
      <c r="T14" s="123" t="s">
        <v>59</v>
      </c>
      <c r="U14" s="123" t="s">
        <v>60</v>
      </c>
      <c r="V14" s="123" t="s">
        <v>61</v>
      </c>
      <c r="W14" s="123" t="s">
        <v>248</v>
      </c>
      <c r="X14" s="123" t="s">
        <v>23</v>
      </c>
      <c r="Y14" s="123" t="s">
        <v>62</v>
      </c>
    </row>
    <row r="15" spans="1:25" ht="212.75" customHeight="1">
      <c r="A15" s="123" t="s">
        <v>19</v>
      </c>
      <c r="B15" s="123" t="s">
        <v>262</v>
      </c>
      <c r="C15" s="123" t="s">
        <v>520</v>
      </c>
      <c r="D15" s="123" t="s">
        <v>527</v>
      </c>
      <c r="E15" s="123" t="s">
        <v>38</v>
      </c>
      <c r="F15" s="124" t="s">
        <v>63</v>
      </c>
      <c r="G15" s="133" t="s">
        <v>533</v>
      </c>
      <c r="H15" s="126">
        <v>5</v>
      </c>
      <c r="I15" s="126">
        <v>4</v>
      </c>
      <c r="J15" s="126">
        <v>2</v>
      </c>
      <c r="K15" s="127" t="s">
        <v>523</v>
      </c>
      <c r="L15" s="136" t="s">
        <v>557</v>
      </c>
      <c r="M15" s="123" t="s">
        <v>525</v>
      </c>
      <c r="N15" s="123" t="s">
        <v>526</v>
      </c>
      <c r="O15" s="123" t="s">
        <v>176</v>
      </c>
      <c r="P15" s="123" t="s">
        <v>174</v>
      </c>
      <c r="Q15" s="123" t="s">
        <v>175</v>
      </c>
      <c r="R15" s="123" t="s">
        <v>177</v>
      </c>
      <c r="S15" s="123" t="s">
        <v>178</v>
      </c>
      <c r="T15" s="123" t="s">
        <v>179</v>
      </c>
      <c r="U15" s="123" t="s">
        <v>180</v>
      </c>
      <c r="V15" s="123" t="s">
        <v>181</v>
      </c>
      <c r="W15" s="123" t="s">
        <v>263</v>
      </c>
      <c r="X15" s="123" t="s">
        <v>23</v>
      </c>
      <c r="Y15" s="123" t="s">
        <v>182</v>
      </c>
    </row>
    <row r="16" spans="1:25" ht="303.75" customHeight="1">
      <c r="A16" s="128" t="s">
        <v>20</v>
      </c>
      <c r="B16" s="128" t="s">
        <v>142</v>
      </c>
      <c r="C16" s="128" t="s">
        <v>457</v>
      </c>
      <c r="D16" s="128" t="s">
        <v>531</v>
      </c>
      <c r="E16" s="128" t="s">
        <v>440</v>
      </c>
      <c r="F16" s="129" t="s">
        <v>63</v>
      </c>
      <c r="G16" s="133" t="s">
        <v>533</v>
      </c>
      <c r="H16" s="130">
        <v>5</v>
      </c>
      <c r="I16" s="130">
        <v>5</v>
      </c>
      <c r="J16" s="130">
        <v>5</v>
      </c>
      <c r="K16" s="131" t="s">
        <v>566</v>
      </c>
      <c r="L16" s="136" t="s">
        <v>557</v>
      </c>
      <c r="M16" s="128" t="s">
        <v>534</v>
      </c>
      <c r="N16" s="128" t="s">
        <v>535</v>
      </c>
      <c r="O16" s="128" t="s">
        <v>145</v>
      </c>
      <c r="P16" s="128" t="s">
        <v>143</v>
      </c>
      <c r="Q16" s="128" t="s">
        <v>144</v>
      </c>
      <c r="R16" s="128" t="s">
        <v>111</v>
      </c>
      <c r="S16" s="128" t="s">
        <v>460</v>
      </c>
      <c r="T16" s="128" t="s">
        <v>443</v>
      </c>
      <c r="U16" s="128" t="s">
        <v>147</v>
      </c>
      <c r="V16" s="128" t="s">
        <v>461</v>
      </c>
      <c r="W16" s="128" t="s">
        <v>550</v>
      </c>
      <c r="X16" s="128" t="s">
        <v>23</v>
      </c>
      <c r="Y16" s="128" t="s">
        <v>108</v>
      </c>
    </row>
    <row r="17" spans="1:25" ht="182.25" customHeight="1">
      <c r="A17" s="123" t="s">
        <v>19</v>
      </c>
      <c r="B17" s="123" t="s">
        <v>80</v>
      </c>
      <c r="C17" s="123" t="s">
        <v>520</v>
      </c>
      <c r="D17" s="123" t="s">
        <v>521</v>
      </c>
      <c r="E17" s="123" t="s">
        <v>37</v>
      </c>
      <c r="F17" s="124" t="s">
        <v>63</v>
      </c>
      <c r="G17" s="134" t="s">
        <v>532</v>
      </c>
      <c r="H17" s="126">
        <v>5</v>
      </c>
      <c r="I17" s="126">
        <v>3</v>
      </c>
      <c r="J17" s="126">
        <v>3</v>
      </c>
      <c r="K17" s="127" t="s">
        <v>523</v>
      </c>
      <c r="L17" s="136" t="s">
        <v>557</v>
      </c>
      <c r="M17" s="123" t="s">
        <v>525</v>
      </c>
      <c r="N17" s="123" t="s">
        <v>526</v>
      </c>
      <c r="O17" s="123" t="s">
        <v>83</v>
      </c>
      <c r="P17" s="123" t="s">
        <v>81</v>
      </c>
      <c r="Q17" s="123" t="s">
        <v>82</v>
      </c>
      <c r="R17" s="123" t="s">
        <v>84</v>
      </c>
      <c r="S17" s="123" t="s">
        <v>85</v>
      </c>
      <c r="T17" s="123" t="s">
        <v>86</v>
      </c>
      <c r="U17" s="123" t="s">
        <v>87</v>
      </c>
      <c r="V17" s="123"/>
      <c r="W17" s="123" t="s">
        <v>255</v>
      </c>
      <c r="X17" s="123" t="s">
        <v>23</v>
      </c>
      <c r="Y17" s="123" t="s">
        <v>88</v>
      </c>
    </row>
    <row r="18" spans="1:25" ht="212.75" customHeight="1">
      <c r="A18" s="123" t="s">
        <v>19</v>
      </c>
      <c r="B18" s="123" t="s">
        <v>287</v>
      </c>
      <c r="C18" s="123" t="s">
        <v>520</v>
      </c>
      <c r="D18" s="123" t="s">
        <v>527</v>
      </c>
      <c r="E18" s="123" t="s">
        <v>38</v>
      </c>
      <c r="F18" s="124" t="s">
        <v>63</v>
      </c>
      <c r="G18" s="134" t="s">
        <v>532</v>
      </c>
      <c r="H18" s="126">
        <v>5</v>
      </c>
      <c r="I18" s="126">
        <v>4</v>
      </c>
      <c r="J18" s="126">
        <v>2</v>
      </c>
      <c r="K18" s="127" t="s">
        <v>523</v>
      </c>
      <c r="L18" s="136" t="s">
        <v>560</v>
      </c>
      <c r="M18" s="123" t="s">
        <v>525</v>
      </c>
      <c r="N18" s="123" t="s">
        <v>526</v>
      </c>
      <c r="O18" s="123" t="s">
        <v>292</v>
      </c>
      <c r="P18" s="123" t="s">
        <v>290</v>
      </c>
      <c r="Q18" s="123" t="s">
        <v>291</v>
      </c>
      <c r="R18" s="123" t="s">
        <v>293</v>
      </c>
      <c r="S18" s="123" t="s">
        <v>294</v>
      </c>
      <c r="T18" s="123" t="s">
        <v>295</v>
      </c>
      <c r="U18" s="123" t="s">
        <v>296</v>
      </c>
      <c r="V18" s="123"/>
      <c r="W18" s="123" t="s">
        <v>288</v>
      </c>
      <c r="X18" s="123" t="s">
        <v>23</v>
      </c>
      <c r="Y18" s="123" t="s">
        <v>297</v>
      </c>
    </row>
    <row r="19" spans="1:25" ht="243" customHeight="1">
      <c r="A19" s="128" t="s">
        <v>20</v>
      </c>
      <c r="B19" s="128" t="s">
        <v>149</v>
      </c>
      <c r="C19" s="128" t="s">
        <v>462</v>
      </c>
      <c r="D19" s="128" t="s">
        <v>531</v>
      </c>
      <c r="E19" s="128" t="s">
        <v>440</v>
      </c>
      <c r="F19" s="128" t="s">
        <v>463</v>
      </c>
      <c r="G19" s="134" t="s">
        <v>532</v>
      </c>
      <c r="H19" s="130">
        <v>3</v>
      </c>
      <c r="I19" s="130">
        <v>2</v>
      </c>
      <c r="J19" s="130">
        <v>5</v>
      </c>
      <c r="K19" s="132" t="s">
        <v>561</v>
      </c>
      <c r="L19" s="136" t="s">
        <v>560</v>
      </c>
      <c r="M19" s="128" t="s">
        <v>543</v>
      </c>
      <c r="N19" s="128" t="s">
        <v>544</v>
      </c>
      <c r="O19" s="128" t="s">
        <v>152</v>
      </c>
      <c r="P19" s="128" t="s">
        <v>150</v>
      </c>
      <c r="Q19" s="128" t="s">
        <v>151</v>
      </c>
      <c r="R19" s="128" t="s">
        <v>111</v>
      </c>
      <c r="S19" s="128" t="s">
        <v>153</v>
      </c>
      <c r="T19" s="128" t="s">
        <v>443</v>
      </c>
      <c r="U19" s="128" t="s">
        <v>154</v>
      </c>
      <c r="V19" s="128"/>
      <c r="W19" s="128" t="s">
        <v>556</v>
      </c>
      <c r="X19" s="128" t="s">
        <v>23</v>
      </c>
      <c r="Y19" s="128" t="s">
        <v>108</v>
      </c>
    </row>
    <row r="20" spans="1:25" ht="212.75" customHeight="1">
      <c r="A20" s="123" t="s">
        <v>19</v>
      </c>
      <c r="B20" s="123" t="s">
        <v>236</v>
      </c>
      <c r="C20" s="123" t="s">
        <v>520</v>
      </c>
      <c r="D20" s="123" t="s">
        <v>40</v>
      </c>
      <c r="E20" s="123" t="s">
        <v>40</v>
      </c>
      <c r="F20" s="124" t="s">
        <v>63</v>
      </c>
      <c r="G20" s="125" t="s">
        <v>522</v>
      </c>
      <c r="H20" s="126">
        <v>5</v>
      </c>
      <c r="I20" s="126">
        <v>4</v>
      </c>
      <c r="J20" s="126">
        <v>1</v>
      </c>
      <c r="K20" s="127" t="s">
        <v>523</v>
      </c>
      <c r="L20" s="136" t="s">
        <v>539</v>
      </c>
      <c r="M20" s="123" t="s">
        <v>525</v>
      </c>
      <c r="N20" s="123" t="s">
        <v>526</v>
      </c>
      <c r="O20" s="123" t="s">
        <v>83</v>
      </c>
      <c r="P20" s="123" t="s">
        <v>237</v>
      </c>
      <c r="Q20" s="123" t="s">
        <v>238</v>
      </c>
      <c r="R20" s="123" t="s">
        <v>239</v>
      </c>
      <c r="S20" s="123" t="s">
        <v>240</v>
      </c>
      <c r="T20" s="123" t="s">
        <v>241</v>
      </c>
      <c r="U20" s="123" t="s">
        <v>242</v>
      </c>
      <c r="V20" s="123" t="s">
        <v>286</v>
      </c>
      <c r="W20" s="123" t="s">
        <v>284</v>
      </c>
      <c r="X20" s="123" t="s">
        <v>23</v>
      </c>
      <c r="Y20" s="123" t="s">
        <v>244</v>
      </c>
    </row>
    <row r="21" spans="1:25" ht="243" customHeight="1">
      <c r="A21" s="123" t="s">
        <v>19</v>
      </c>
      <c r="B21" s="123" t="s">
        <v>309</v>
      </c>
      <c r="C21" s="123" t="s">
        <v>520</v>
      </c>
      <c r="D21" s="123" t="s">
        <v>521</v>
      </c>
      <c r="E21" s="123" t="s">
        <v>37</v>
      </c>
      <c r="F21" s="124" t="s">
        <v>63</v>
      </c>
      <c r="G21" s="134" t="s">
        <v>532</v>
      </c>
      <c r="H21" s="126">
        <v>5</v>
      </c>
      <c r="I21" s="126">
        <v>3</v>
      </c>
      <c r="J21" s="126">
        <v>1</v>
      </c>
      <c r="K21" s="127" t="s">
        <v>523</v>
      </c>
      <c r="L21" s="136" t="s">
        <v>563</v>
      </c>
      <c r="M21" s="123" t="s">
        <v>525</v>
      </c>
      <c r="N21" s="123" t="s">
        <v>526</v>
      </c>
      <c r="O21" s="123" t="s">
        <v>314</v>
      </c>
      <c r="P21" s="123" t="s">
        <v>312</v>
      </c>
      <c r="Q21" s="123" t="s">
        <v>313</v>
      </c>
      <c r="R21" s="123" t="s">
        <v>315</v>
      </c>
      <c r="S21" s="123" t="s">
        <v>316</v>
      </c>
      <c r="T21" s="123" t="s">
        <v>317</v>
      </c>
      <c r="U21" s="123" t="s">
        <v>318</v>
      </c>
      <c r="V21" s="123"/>
      <c r="W21" s="123" t="s">
        <v>310</v>
      </c>
      <c r="X21" s="123" t="s">
        <v>23</v>
      </c>
      <c r="Y21" s="123" t="s">
        <v>319</v>
      </c>
    </row>
    <row r="22" spans="1:25" ht="243" customHeight="1">
      <c r="A22" s="123" t="s">
        <v>19</v>
      </c>
      <c r="B22" s="123" t="s">
        <v>298</v>
      </c>
      <c r="C22" s="123" t="s">
        <v>520</v>
      </c>
      <c r="D22" s="123" t="s">
        <v>536</v>
      </c>
      <c r="E22" s="123" t="s">
        <v>41</v>
      </c>
      <c r="F22" s="124" t="s">
        <v>63</v>
      </c>
      <c r="G22" s="134" t="s">
        <v>532</v>
      </c>
      <c r="H22" s="126">
        <v>4</v>
      </c>
      <c r="I22" s="126">
        <v>5</v>
      </c>
      <c r="J22" s="126">
        <v>1</v>
      </c>
      <c r="K22" s="131" t="s">
        <v>537</v>
      </c>
      <c r="L22" s="136" t="s">
        <v>539</v>
      </c>
      <c r="M22" s="123" t="s">
        <v>534</v>
      </c>
      <c r="N22" s="123" t="s">
        <v>535</v>
      </c>
      <c r="O22" s="123" t="s">
        <v>303</v>
      </c>
      <c r="P22" s="123" t="s">
        <v>301</v>
      </c>
      <c r="Q22" s="123" t="s">
        <v>302</v>
      </c>
      <c r="R22" s="123" t="s">
        <v>304</v>
      </c>
      <c r="S22" s="123" t="s">
        <v>305</v>
      </c>
      <c r="T22" s="123" t="s">
        <v>306</v>
      </c>
      <c r="U22" s="123" t="s">
        <v>307</v>
      </c>
      <c r="V22" s="123"/>
      <c r="W22" s="123" t="s">
        <v>299</v>
      </c>
      <c r="X22" s="123" t="s">
        <v>23</v>
      </c>
      <c r="Y22" s="123" t="s">
        <v>308</v>
      </c>
    </row>
    <row r="23" spans="1:25" ht="273.25" customHeight="1">
      <c r="A23" s="123" t="s">
        <v>19</v>
      </c>
      <c r="B23" s="123" t="s">
        <v>200</v>
      </c>
      <c r="C23" s="123" t="s">
        <v>520</v>
      </c>
      <c r="D23" s="123" t="s">
        <v>527</v>
      </c>
      <c r="E23" s="123" t="s">
        <v>38</v>
      </c>
      <c r="F23" s="123" t="s">
        <v>98</v>
      </c>
      <c r="G23" s="134" t="s">
        <v>532</v>
      </c>
      <c r="H23" s="126">
        <v>4</v>
      </c>
      <c r="I23" s="126">
        <v>4</v>
      </c>
      <c r="J23" s="126">
        <v>2</v>
      </c>
      <c r="K23" s="135" t="s">
        <v>538</v>
      </c>
      <c r="L23" s="136" t="s">
        <v>539</v>
      </c>
      <c r="M23" s="123" t="s">
        <v>540</v>
      </c>
      <c r="N23" s="123" t="s">
        <v>541</v>
      </c>
      <c r="O23" s="123" t="s">
        <v>176</v>
      </c>
      <c r="P23" s="123" t="s">
        <v>201</v>
      </c>
      <c r="Q23" s="123" t="s">
        <v>202</v>
      </c>
      <c r="R23" s="123" t="s">
        <v>203</v>
      </c>
      <c r="S23" s="123" t="s">
        <v>204</v>
      </c>
      <c r="T23" s="123" t="s">
        <v>205</v>
      </c>
      <c r="U23" s="123" t="s">
        <v>206</v>
      </c>
      <c r="V23" s="123"/>
      <c r="W23" s="123" t="s">
        <v>270</v>
      </c>
      <c r="X23" s="123" t="s">
        <v>23</v>
      </c>
      <c r="Y23" s="123" t="s">
        <v>207</v>
      </c>
    </row>
    <row r="24" spans="1:25" ht="182.25" customHeight="1">
      <c r="A24" s="123" t="s">
        <v>19</v>
      </c>
      <c r="B24" s="123" t="s">
        <v>73</v>
      </c>
      <c r="C24" s="123" t="s">
        <v>520</v>
      </c>
      <c r="D24" s="123" t="s">
        <v>521</v>
      </c>
      <c r="E24" s="123" t="s">
        <v>37</v>
      </c>
      <c r="F24" s="124" t="s">
        <v>63</v>
      </c>
      <c r="G24" s="133" t="s">
        <v>533</v>
      </c>
      <c r="H24" s="126">
        <v>4</v>
      </c>
      <c r="I24" s="126">
        <v>4</v>
      </c>
      <c r="J24" s="126">
        <v>2</v>
      </c>
      <c r="K24" s="123" t="s">
        <v>528</v>
      </c>
      <c r="L24" s="136" t="s">
        <v>542</v>
      </c>
      <c r="M24" s="123" t="s">
        <v>529</v>
      </c>
      <c r="N24" s="123" t="s">
        <v>530</v>
      </c>
      <c r="O24" s="123" t="s">
        <v>75</v>
      </c>
      <c r="P24" s="123" t="s">
        <v>54</v>
      </c>
      <c r="Q24" s="123" t="s">
        <v>74</v>
      </c>
      <c r="R24" s="123" t="s">
        <v>57</v>
      </c>
      <c r="S24" s="123" t="s">
        <v>76</v>
      </c>
      <c r="T24" s="123" t="s">
        <v>77</v>
      </c>
      <c r="U24" s="123" t="s">
        <v>60</v>
      </c>
      <c r="V24" s="123" t="s">
        <v>78</v>
      </c>
      <c r="W24" s="123" t="s">
        <v>253</v>
      </c>
      <c r="X24" s="123" t="s">
        <v>23</v>
      </c>
      <c r="Y24" s="123" t="s">
        <v>79</v>
      </c>
    </row>
    <row r="25" spans="1:25" ht="364.75" customHeight="1">
      <c r="A25" s="123" t="s">
        <v>19</v>
      </c>
      <c r="B25" s="123" t="s">
        <v>226</v>
      </c>
      <c r="C25" s="123" t="s">
        <v>520</v>
      </c>
      <c r="D25" s="123" t="s">
        <v>521</v>
      </c>
      <c r="E25" s="123" t="s">
        <v>37</v>
      </c>
      <c r="F25" s="123" t="s">
        <v>172</v>
      </c>
      <c r="G25" s="133" t="s">
        <v>533</v>
      </c>
      <c r="H25" s="126">
        <v>3</v>
      </c>
      <c r="I25" s="126">
        <v>2</v>
      </c>
      <c r="J25" s="126">
        <v>1</v>
      </c>
      <c r="K25" s="123" t="s">
        <v>528</v>
      </c>
      <c r="L25" s="136" t="s">
        <v>542</v>
      </c>
      <c r="M25" s="123" t="s">
        <v>529</v>
      </c>
      <c r="N25" s="123" t="s">
        <v>530</v>
      </c>
      <c r="O25" s="123" t="s">
        <v>219</v>
      </c>
      <c r="P25" s="123" t="s">
        <v>281</v>
      </c>
      <c r="Q25" s="123" t="s">
        <v>228</v>
      </c>
      <c r="R25" s="123" t="s">
        <v>229</v>
      </c>
      <c r="S25" s="123" t="s">
        <v>230</v>
      </c>
      <c r="T25" s="123" t="s">
        <v>282</v>
      </c>
      <c r="U25" s="123" t="s">
        <v>232</v>
      </c>
      <c r="V25" s="123" t="s">
        <v>283</v>
      </c>
      <c r="W25" s="123" t="s">
        <v>279</v>
      </c>
      <c r="X25" s="123" t="s">
        <v>23</v>
      </c>
      <c r="Y25" s="123" t="s">
        <v>234</v>
      </c>
    </row>
    <row r="26" spans="1:25" ht="243" customHeight="1">
      <c r="A26" s="123" t="s">
        <v>19</v>
      </c>
      <c r="B26" s="123" t="s">
        <v>162</v>
      </c>
      <c r="C26" s="123" t="s">
        <v>520</v>
      </c>
      <c r="D26" s="123" t="s">
        <v>521</v>
      </c>
      <c r="E26" s="123" t="s">
        <v>37</v>
      </c>
      <c r="F26" s="123" t="s">
        <v>172</v>
      </c>
      <c r="G26" s="133" t="s">
        <v>533</v>
      </c>
      <c r="H26" s="126">
        <v>2</v>
      </c>
      <c r="I26" s="126">
        <v>2</v>
      </c>
      <c r="J26" s="126">
        <v>1</v>
      </c>
      <c r="K26" s="123" t="s">
        <v>528</v>
      </c>
      <c r="L26" s="136" t="s">
        <v>542</v>
      </c>
      <c r="M26" s="123" t="s">
        <v>529</v>
      </c>
      <c r="N26" s="123" t="s">
        <v>530</v>
      </c>
      <c r="O26" s="123" t="s">
        <v>165</v>
      </c>
      <c r="P26" s="123" t="s">
        <v>163</v>
      </c>
      <c r="Q26" s="123" t="s">
        <v>164</v>
      </c>
      <c r="R26" s="123" t="s">
        <v>166</v>
      </c>
      <c r="S26" s="123" t="s">
        <v>167</v>
      </c>
      <c r="T26" s="123" t="s">
        <v>168</v>
      </c>
      <c r="U26" s="123" t="s">
        <v>169</v>
      </c>
      <c r="V26" s="123" t="s">
        <v>170</v>
      </c>
      <c r="W26" s="123" t="s">
        <v>260</v>
      </c>
      <c r="X26" s="123" t="s">
        <v>23</v>
      </c>
      <c r="Y26" s="123" t="s">
        <v>171</v>
      </c>
    </row>
    <row r="27" spans="1:25" ht="273.25" customHeight="1">
      <c r="A27" s="123" t="s">
        <v>19</v>
      </c>
      <c r="B27" s="123" t="s">
        <v>351</v>
      </c>
      <c r="C27" s="123" t="s">
        <v>520</v>
      </c>
      <c r="D27" s="123" t="s">
        <v>527</v>
      </c>
      <c r="E27" s="123" t="s">
        <v>38</v>
      </c>
      <c r="F27" s="124" t="s">
        <v>63</v>
      </c>
      <c r="G27" s="134" t="s">
        <v>532</v>
      </c>
      <c r="H27" s="126">
        <v>4</v>
      </c>
      <c r="I27" s="126">
        <v>3</v>
      </c>
      <c r="J27" s="126">
        <v>1</v>
      </c>
      <c r="K27" s="123" t="s">
        <v>528</v>
      </c>
      <c r="L27" s="136" t="s">
        <v>542</v>
      </c>
      <c r="M27" s="123" t="s">
        <v>529</v>
      </c>
      <c r="N27" s="123" t="s">
        <v>530</v>
      </c>
      <c r="O27" s="123" t="s">
        <v>356</v>
      </c>
      <c r="P27" s="123" t="s">
        <v>354</v>
      </c>
      <c r="Q27" s="123" t="s">
        <v>355</v>
      </c>
      <c r="R27" s="123" t="s">
        <v>357</v>
      </c>
      <c r="S27" s="123" t="s">
        <v>358</v>
      </c>
      <c r="T27" s="123" t="s">
        <v>359</v>
      </c>
      <c r="U27" s="123" t="s">
        <v>360</v>
      </c>
      <c r="V27" s="123"/>
      <c r="W27" s="123" t="s">
        <v>352</v>
      </c>
      <c r="X27" s="123" t="s">
        <v>23</v>
      </c>
      <c r="Y27" s="123" t="s">
        <v>361</v>
      </c>
    </row>
    <row r="28" spans="1:25" ht="303.75" customHeight="1">
      <c r="A28" s="123" t="s">
        <v>19</v>
      </c>
      <c r="B28" s="123" t="s">
        <v>340</v>
      </c>
      <c r="C28" s="123" t="s">
        <v>520</v>
      </c>
      <c r="D28" s="123" t="s">
        <v>527</v>
      </c>
      <c r="E28" s="123" t="s">
        <v>38</v>
      </c>
      <c r="F28" s="124" t="s">
        <v>63</v>
      </c>
      <c r="G28" s="134" t="s">
        <v>532</v>
      </c>
      <c r="H28" s="126">
        <v>4</v>
      </c>
      <c r="I28" s="126">
        <v>3</v>
      </c>
      <c r="J28" s="126">
        <v>1</v>
      </c>
      <c r="K28" s="123" t="s">
        <v>528</v>
      </c>
      <c r="L28" s="136" t="s">
        <v>542</v>
      </c>
      <c r="M28" s="123" t="s">
        <v>529</v>
      </c>
      <c r="N28" s="123" t="s">
        <v>530</v>
      </c>
      <c r="O28" s="123" t="s">
        <v>345</v>
      </c>
      <c r="P28" s="123" t="s">
        <v>343</v>
      </c>
      <c r="Q28" s="123" t="s">
        <v>344</v>
      </c>
      <c r="R28" s="123" t="s">
        <v>346</v>
      </c>
      <c r="S28" s="123" t="s">
        <v>347</v>
      </c>
      <c r="T28" s="123" t="s">
        <v>348</v>
      </c>
      <c r="U28" s="123" t="s">
        <v>349</v>
      </c>
      <c r="V28" s="123"/>
      <c r="W28" s="123" t="s">
        <v>341</v>
      </c>
      <c r="X28" s="123" t="s">
        <v>23</v>
      </c>
      <c r="Y28" s="123" t="s">
        <v>350</v>
      </c>
    </row>
    <row r="29" spans="1:25" ht="151.75" customHeight="1">
      <c r="A29" s="123" t="s">
        <v>19</v>
      </c>
      <c r="B29" s="123" t="s">
        <v>362</v>
      </c>
      <c r="C29" s="123" t="s">
        <v>520</v>
      </c>
      <c r="D29" s="123" t="s">
        <v>527</v>
      </c>
      <c r="E29" s="123" t="s">
        <v>38</v>
      </c>
      <c r="F29" s="124" t="s">
        <v>63</v>
      </c>
      <c r="G29" s="134" t="s">
        <v>532</v>
      </c>
      <c r="H29" s="126">
        <v>4</v>
      </c>
      <c r="I29" s="126">
        <v>3</v>
      </c>
      <c r="J29" s="126">
        <v>1</v>
      </c>
      <c r="K29" s="123" t="s">
        <v>528</v>
      </c>
      <c r="L29" s="136" t="s">
        <v>542</v>
      </c>
      <c r="M29" s="123" t="s">
        <v>529</v>
      </c>
      <c r="N29" s="123" t="s">
        <v>530</v>
      </c>
      <c r="O29" s="123" t="s">
        <v>367</v>
      </c>
      <c r="P29" s="123" t="s">
        <v>365</v>
      </c>
      <c r="Q29" s="123" t="s">
        <v>366</v>
      </c>
      <c r="R29" s="123" t="s">
        <v>368</v>
      </c>
      <c r="S29" s="123" t="s">
        <v>369</v>
      </c>
      <c r="T29" s="123" t="s">
        <v>370</v>
      </c>
      <c r="U29" s="123" t="s">
        <v>371</v>
      </c>
      <c r="V29" s="123"/>
      <c r="W29" s="123" t="s">
        <v>363</v>
      </c>
      <c r="X29" s="123" t="s">
        <v>23</v>
      </c>
      <c r="Y29" s="123" t="s">
        <v>372</v>
      </c>
    </row>
    <row r="30" spans="1:25" ht="334" customHeight="1">
      <c r="A30" s="123" t="s">
        <v>19</v>
      </c>
      <c r="B30" s="123" t="s">
        <v>208</v>
      </c>
      <c r="C30" s="123" t="s">
        <v>520</v>
      </c>
      <c r="D30" s="123" t="s">
        <v>527</v>
      </c>
      <c r="E30" s="123" t="s">
        <v>38</v>
      </c>
      <c r="F30" s="123" t="s">
        <v>172</v>
      </c>
      <c r="G30" s="134" t="s">
        <v>532</v>
      </c>
      <c r="H30" s="126">
        <v>3</v>
      </c>
      <c r="I30" s="126">
        <v>2</v>
      </c>
      <c r="J30" s="126">
        <v>1</v>
      </c>
      <c r="K30" s="123" t="s">
        <v>528</v>
      </c>
      <c r="L30" s="136" t="s">
        <v>542</v>
      </c>
      <c r="M30" s="123" t="s">
        <v>529</v>
      </c>
      <c r="N30" s="123" t="s">
        <v>530</v>
      </c>
      <c r="O30" s="123" t="s">
        <v>176</v>
      </c>
      <c r="P30" s="123" t="s">
        <v>209</v>
      </c>
      <c r="Q30" s="123" t="s">
        <v>210</v>
      </c>
      <c r="R30" s="123" t="s">
        <v>211</v>
      </c>
      <c r="S30" s="123" t="s">
        <v>212</v>
      </c>
      <c r="T30" s="123" t="s">
        <v>213</v>
      </c>
      <c r="U30" s="123" t="s">
        <v>214</v>
      </c>
      <c r="V30" s="123"/>
      <c r="W30" s="123" t="s">
        <v>272</v>
      </c>
      <c r="X30" s="123" t="s">
        <v>23</v>
      </c>
      <c r="Y30" s="123" t="s">
        <v>215</v>
      </c>
    </row>
    <row r="31" spans="1:25" ht="273.25" customHeight="1">
      <c r="A31" s="123" t="s">
        <v>19</v>
      </c>
      <c r="B31" s="123" t="s">
        <v>395</v>
      </c>
      <c r="C31" s="123" t="s">
        <v>520</v>
      </c>
      <c r="D31" s="123" t="s">
        <v>527</v>
      </c>
      <c r="E31" s="123" t="s">
        <v>38</v>
      </c>
      <c r="F31" s="123" t="s">
        <v>172</v>
      </c>
      <c r="G31" s="134" t="s">
        <v>532</v>
      </c>
      <c r="H31" s="126">
        <v>3</v>
      </c>
      <c r="I31" s="126">
        <v>2</v>
      </c>
      <c r="J31" s="126">
        <v>1</v>
      </c>
      <c r="K31" s="123" t="s">
        <v>528</v>
      </c>
      <c r="L31" s="136" t="s">
        <v>542</v>
      </c>
      <c r="M31" s="123" t="s">
        <v>529</v>
      </c>
      <c r="N31" s="123" t="s">
        <v>530</v>
      </c>
      <c r="O31" s="123" t="s">
        <v>400</v>
      </c>
      <c r="P31" s="123" t="s">
        <v>398</v>
      </c>
      <c r="Q31" s="123" t="s">
        <v>399</v>
      </c>
      <c r="R31" s="123" t="s">
        <v>401</v>
      </c>
      <c r="S31" s="123" t="s">
        <v>402</v>
      </c>
      <c r="T31" s="123" t="s">
        <v>403</v>
      </c>
      <c r="U31" s="123" t="s">
        <v>404</v>
      </c>
      <c r="V31" s="123"/>
      <c r="W31" s="123" t="s">
        <v>396</v>
      </c>
      <c r="X31" s="123" t="s">
        <v>23</v>
      </c>
      <c r="Y31" s="123" t="s">
        <v>405</v>
      </c>
    </row>
    <row r="32" spans="1:25" ht="151.75" customHeight="1">
      <c r="A32" s="123" t="s">
        <v>19</v>
      </c>
      <c r="B32" s="123" t="s">
        <v>384</v>
      </c>
      <c r="C32" s="123" t="s">
        <v>520</v>
      </c>
      <c r="D32" s="123" t="s">
        <v>527</v>
      </c>
      <c r="E32" s="123" t="s">
        <v>38</v>
      </c>
      <c r="F32" s="123" t="s">
        <v>172</v>
      </c>
      <c r="G32" s="134" t="s">
        <v>532</v>
      </c>
      <c r="H32" s="126">
        <v>3</v>
      </c>
      <c r="I32" s="126">
        <v>2</v>
      </c>
      <c r="J32" s="126">
        <v>1</v>
      </c>
      <c r="K32" s="123" t="s">
        <v>528</v>
      </c>
      <c r="L32" s="136" t="s">
        <v>542</v>
      </c>
      <c r="M32" s="123" t="s">
        <v>529</v>
      </c>
      <c r="N32" s="123" t="s">
        <v>530</v>
      </c>
      <c r="O32" s="123" t="s">
        <v>389</v>
      </c>
      <c r="P32" s="123" t="s">
        <v>387</v>
      </c>
      <c r="Q32" s="123" t="s">
        <v>388</v>
      </c>
      <c r="R32" s="123" t="s">
        <v>390</v>
      </c>
      <c r="S32" s="123" t="s">
        <v>391</v>
      </c>
      <c r="T32" s="123" t="s">
        <v>392</v>
      </c>
      <c r="U32" s="123" t="s">
        <v>393</v>
      </c>
      <c r="V32" s="123"/>
      <c r="W32" s="123" t="s">
        <v>385</v>
      </c>
      <c r="X32" s="123" t="s">
        <v>23</v>
      </c>
      <c r="Y32" s="123" t="s">
        <v>394</v>
      </c>
    </row>
    <row r="33" spans="1:25" ht="212.75" customHeight="1">
      <c r="A33" s="128" t="s">
        <v>20</v>
      </c>
      <c r="B33" s="128" t="s">
        <v>438</v>
      </c>
      <c r="C33" s="128" t="s">
        <v>439</v>
      </c>
      <c r="D33" s="128" t="s">
        <v>531</v>
      </c>
      <c r="E33" s="128" t="s">
        <v>440</v>
      </c>
      <c r="F33" s="129" t="s">
        <v>63</v>
      </c>
      <c r="G33" s="133" t="s">
        <v>533</v>
      </c>
      <c r="H33" s="130">
        <v>4</v>
      </c>
      <c r="I33" s="130">
        <v>5</v>
      </c>
      <c r="J33" s="130">
        <v>5</v>
      </c>
      <c r="K33" s="131" t="s">
        <v>551</v>
      </c>
      <c r="L33" s="136" t="s">
        <v>558</v>
      </c>
      <c r="M33" s="128" t="s">
        <v>565</v>
      </c>
      <c r="N33" s="128" t="s">
        <v>535</v>
      </c>
      <c r="O33" s="128" t="s">
        <v>117</v>
      </c>
      <c r="P33" s="128" t="s">
        <v>115</v>
      </c>
      <c r="Q33" s="128" t="s">
        <v>116</v>
      </c>
      <c r="R33" s="128" t="s">
        <v>111</v>
      </c>
      <c r="S33" s="128" t="s">
        <v>104</v>
      </c>
      <c r="T33" s="128" t="s">
        <v>443</v>
      </c>
      <c r="U33" s="128" t="s">
        <v>119</v>
      </c>
      <c r="V33" s="128" t="s">
        <v>120</v>
      </c>
      <c r="W33" s="128" t="s">
        <v>552</v>
      </c>
      <c r="X33" s="128" t="s">
        <v>23</v>
      </c>
      <c r="Y33" s="128" t="s">
        <v>108</v>
      </c>
    </row>
    <row r="34" spans="1:25" ht="212.75" customHeight="1">
      <c r="A34" s="128" t="s">
        <v>20</v>
      </c>
      <c r="B34" s="128" t="s">
        <v>448</v>
      </c>
      <c r="C34" s="128" t="s">
        <v>449</v>
      </c>
      <c r="D34" s="128" t="s">
        <v>531</v>
      </c>
      <c r="E34" s="128" t="s">
        <v>440</v>
      </c>
      <c r="F34" s="128" t="s">
        <v>98</v>
      </c>
      <c r="G34" s="133" t="s">
        <v>533</v>
      </c>
      <c r="H34" s="130">
        <v>3</v>
      </c>
      <c r="I34" s="130">
        <v>4</v>
      </c>
      <c r="J34" s="130">
        <v>5</v>
      </c>
      <c r="K34" s="132" t="s">
        <v>568</v>
      </c>
      <c r="L34" s="136" t="s">
        <v>562</v>
      </c>
      <c r="M34" s="128" t="s">
        <v>565</v>
      </c>
      <c r="N34" s="128" t="s">
        <v>544</v>
      </c>
      <c r="O34" s="128" t="s">
        <v>130</v>
      </c>
      <c r="P34" s="128" t="s">
        <v>128</v>
      </c>
      <c r="Q34" s="128" t="s">
        <v>129</v>
      </c>
      <c r="R34" s="128" t="s">
        <v>111</v>
      </c>
      <c r="S34" s="128" t="s">
        <v>452</v>
      </c>
      <c r="T34" s="128" t="s">
        <v>443</v>
      </c>
      <c r="U34" s="128" t="s">
        <v>132</v>
      </c>
      <c r="V34" s="128" t="s">
        <v>133</v>
      </c>
      <c r="W34" s="128" t="s">
        <v>555</v>
      </c>
      <c r="X34" s="128" t="s">
        <v>23</v>
      </c>
      <c r="Y34" s="128" t="s">
        <v>108</v>
      </c>
    </row>
    <row r="35" spans="1:25" ht="273.25" customHeight="1">
      <c r="A35" s="128" t="s">
        <v>20</v>
      </c>
      <c r="B35" s="128" t="s">
        <v>109</v>
      </c>
      <c r="C35" s="128" t="s">
        <v>434</v>
      </c>
      <c r="D35" s="128" t="s">
        <v>545</v>
      </c>
      <c r="E35" s="128" t="s">
        <v>430</v>
      </c>
      <c r="F35" s="129" t="s">
        <v>63</v>
      </c>
      <c r="G35" s="125" t="s">
        <v>522</v>
      </c>
      <c r="H35" s="130">
        <v>4</v>
      </c>
      <c r="I35" s="130">
        <v>4</v>
      </c>
      <c r="J35" s="130">
        <v>5</v>
      </c>
      <c r="K35" s="132" t="s">
        <v>567</v>
      </c>
      <c r="L35" s="136" t="s">
        <v>564</v>
      </c>
      <c r="M35" s="128" t="s">
        <v>565</v>
      </c>
      <c r="N35" s="128" t="s">
        <v>530</v>
      </c>
      <c r="O35" s="128" t="s">
        <v>102</v>
      </c>
      <c r="P35" s="128" t="s">
        <v>110</v>
      </c>
      <c r="Q35" s="128" t="s">
        <v>101</v>
      </c>
      <c r="R35" s="128" t="s">
        <v>111</v>
      </c>
      <c r="S35" s="128" t="s">
        <v>104</v>
      </c>
      <c r="T35" s="128" t="s">
        <v>437</v>
      </c>
      <c r="U35" s="128" t="s">
        <v>433</v>
      </c>
      <c r="V35" s="128" t="s">
        <v>113</v>
      </c>
      <c r="W35" s="128" t="s">
        <v>435</v>
      </c>
      <c r="X35" s="128" t="s">
        <v>23</v>
      </c>
      <c r="Y35" s="128" t="s">
        <v>108</v>
      </c>
    </row>
    <row r="36" spans="1:25" ht="243" customHeight="1">
      <c r="A36" s="128" t="s">
        <v>20</v>
      </c>
      <c r="B36" s="128" t="s">
        <v>134</v>
      </c>
      <c r="C36" s="128" t="s">
        <v>453</v>
      </c>
      <c r="D36" s="128" t="s">
        <v>531</v>
      </c>
      <c r="E36" s="128" t="s">
        <v>440</v>
      </c>
      <c r="F36" s="129" t="s">
        <v>63</v>
      </c>
      <c r="G36" s="125" t="s">
        <v>522</v>
      </c>
      <c r="H36" s="130">
        <v>4</v>
      </c>
      <c r="I36" s="130">
        <v>4</v>
      </c>
      <c r="J36" s="130">
        <v>5</v>
      </c>
      <c r="K36" s="132" t="s">
        <v>553</v>
      </c>
      <c r="L36" s="136" t="s">
        <v>559</v>
      </c>
      <c r="M36" s="128" t="s">
        <v>565</v>
      </c>
      <c r="N36" s="128" t="s">
        <v>544</v>
      </c>
      <c r="O36" s="128" t="s">
        <v>137</v>
      </c>
      <c r="P36" s="128" t="s">
        <v>135</v>
      </c>
      <c r="Q36" s="128" t="s">
        <v>136</v>
      </c>
      <c r="R36" s="128" t="s">
        <v>111</v>
      </c>
      <c r="S36" s="128" t="s">
        <v>138</v>
      </c>
      <c r="T36" s="128" t="s">
        <v>139</v>
      </c>
      <c r="U36" s="128" t="s">
        <v>140</v>
      </c>
      <c r="V36" s="128" t="s">
        <v>456</v>
      </c>
      <c r="W36" s="128" t="s">
        <v>554</v>
      </c>
      <c r="X36" s="128" t="s">
        <v>23</v>
      </c>
      <c r="Y36" s="128" t="s">
        <v>108</v>
      </c>
    </row>
  </sheetData>
  <autoFilter ref="A1:Y31" xr:uid="{00000000-0001-0000-0500-000000000000}">
    <sortState xmlns:xlrd2="http://schemas.microsoft.com/office/spreadsheetml/2017/richdata2" ref="A13:Y31">
      <sortCondition ref="L1:L31"/>
    </sortState>
  </autoFilter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Draft</vt:lpstr>
      <vt:lpstr>Ring 1 — LU Institutions</vt:lpstr>
      <vt:lpstr>Ring 2 — Communities</vt:lpstr>
      <vt:lpstr>Ring 3 — Abroad (Stage 2)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Nataliia Kozakevych</cp:lastModifiedBy>
  <dcterms:modified xsi:type="dcterms:W3CDTF">2026-04-11T12:40:20Z</dcterms:modified>
</cp:coreProperties>
</file>